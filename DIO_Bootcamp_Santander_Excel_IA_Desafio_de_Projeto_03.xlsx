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5119\Documents\Curso Python\Bootcamp Santander Excel\Projetos\"/>
    </mc:Choice>
  </mc:AlternateContent>
  <xr:revisionPtr revIDLastSave="0" documentId="13_ncr:1_{B0558399-31C5-4378-B07D-535194800571}" xr6:coauthVersionLast="47" xr6:coauthVersionMax="47" xr10:uidLastSave="{00000000-0000-0000-0000-000000000000}"/>
  <bookViews>
    <workbookView xWindow="-120" yWindow="-120" windowWidth="29040" windowHeight="15840" xr2:uid="{28DD5B76-0634-4F87-BE60-8BFA7EF2E23B}"/>
  </bookViews>
  <sheets>
    <sheet name="Cover" sheetId="6" r:id="rId1"/>
    <sheet name="A̳ssets" sheetId="1" state="hidden" r:id="rId2"/>
    <sheet name="B̳ases" sheetId="2" state="hidden" r:id="rId3"/>
    <sheet name="C̳álculos" sheetId="3" state="hidden" r:id="rId4"/>
    <sheet name="DASHBOARD" sheetId="4" r:id="rId5"/>
  </sheets>
  <definedNames>
    <definedName name="_xlnm.Print_Area" localSheetId="0">Cover!$A$1:$P$31</definedName>
    <definedName name="_xlnm.Print_Area" localSheetId="4">DASHBOARD!$A$1:$P$32</definedName>
    <definedName name="SegmentaçãodeDados_Auto_Renewal">#N/A</definedName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23" i="3"/>
  <c r="E40" i="3"/>
</calcChain>
</file>

<file path=xl/sharedStrings.xml><?xml version="1.0" encoding="utf-8"?>
<sst xmlns="http://schemas.openxmlformats.org/spreadsheetml/2006/main" count="2017" uniqueCount="323">
  <si>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</si>
  <si>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</si>
  <si>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</si>
  <si>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</si>
  <si>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</si>
  <si>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</si>
  <si>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</si>
  <si>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</si>
  <si>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</si>
  <si>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</si>
  <si>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</si>
  <si>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</si>
  <si>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</si>
  <si>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</si>
  <si>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</si>
  <si>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</si>
  <si>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</si>
  <si>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</si>
  <si>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</si>
  <si>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</si>
  <si>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</si>
  <si>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</si>
  <si>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</si>
  <si>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</si>
  <si>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</si>
  <si>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</si>
  <si>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</si>
  <si>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</si>
  <si>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</si>
  <si>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</si>
  <si>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</si>
  <si>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</si>
  <si>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</si>
  <si>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</si>
  <si>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</si>
  <si>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</si>
  <si>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</si>
  <si>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</si>
  <si>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</si>
  <si>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</si>
  <si>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</si>
  <si>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</si>
  <si>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</si>
  <si>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</si>
  <si>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</si>
  <si>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</si>
  <si>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</si>
  <si>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</si>
  <si>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</si>
  <si>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</si>
  <si>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</si>
  <si>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</si>
  <si>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</si>
  <si>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</si>
  <si>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</si>
  <si>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</si>
  <si>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</si>
  <si>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</si>
  <si>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</si>
  <si>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</si>
  <si>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</si>
  <si>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</si>
  <si>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</si>
  <si>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</si>
  <si>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</si>
  <si>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</si>
  <si>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</si>
  <si>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</si>
  <si>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</si>
  <si>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</si>
  <si>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</si>
  <si>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</si>
  <si>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</si>
  <si>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</si>
  <si>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</si>
  <si>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</si>
  <si>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</si>
  <si>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</si>
  <si>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</si>
  <si>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</si>
  <si>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</si>
  <si>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</si>
  <si>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</si>
  <si>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</si>
  <si>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</si>
  <si>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</si>
  <si>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</si>
  <si>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</si>
  <si>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</si>
  <si>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</si>
  <si>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</si>
  <si>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</si>
  <si>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</si>
  <si>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</si>
  <si>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</si>
  <si>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</si>
  <si>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</si>
  <si>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</si>
  <si>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</si>
  <si>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</si>
  <si>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</si>
  <si>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</si>
  <si>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</si>
  <si>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</si>
  <si>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</si>
  <si>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</si>
  <si>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</si>
  <si>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</si>
  <si>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</si>
  <si>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</si>
  <si>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</si>
  <si>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</si>
  <si>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</si>
  <si>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</si>
  <si>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</si>
  <si>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</si>
  <si>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</si>
  <si>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</si>
  <si>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</si>
  <si>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</si>
  <si>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</si>
  <si>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</si>
  <si>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</si>
  <si>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</si>
  <si>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</si>
  <si>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</si>
  <si>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</si>
  <si>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</si>
  <si>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</si>
  <si>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</si>
  <si>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</si>
  <si>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</si>
  <si>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</si>
  <si>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</si>
  <si>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</si>
  <si>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</si>
  <si>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</si>
  <si>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</si>
  <si>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</si>
  <si>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</si>
  <si>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</si>
  <si>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</si>
  <si>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</si>
  <si>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</si>
  <si>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</si>
  <si>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</si>
  <si>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</si>
  <si>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</si>
  <si>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</si>
  <si>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</si>
  <si>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</si>
  <si>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</si>
  <si>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</si>
  <si>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</si>
  <si>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</si>
  <si>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</si>
  <si>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</si>
  <si>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</si>
  <si>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</si>
  <si>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</si>
  <si>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</si>
  <si>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</si>
  <si>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</si>
  <si>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</si>
  <si>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</si>
  <si>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</si>
  <si>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</si>
  <si>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</si>
  <si>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</si>
  <si>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</si>
  <si>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</si>
  <si>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</si>
  <si>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</si>
  <si>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</si>
  <si>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</si>
  <si>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</si>
  <si>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</si>
  <si>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</si>
  <si>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</si>
  <si>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</si>
  <si>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</si>
  <si>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</si>
  <si>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</si>
  <si>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</si>
  <si>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</si>
  <si>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</si>
  <si>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</si>
  <si>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</si>
  <si>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</si>
  <si>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</si>
  <si>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</si>
  <si>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</si>
  <si>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</si>
  <si>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</si>
  <si>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</si>
  <si>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</si>
  <si>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</si>
  <si>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</si>
  <si>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</si>
  <si>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</si>
  <si>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</si>
  <si>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</si>
  <si>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</si>
  <si>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</si>
  <si>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</si>
  <si>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</si>
  <si>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</si>
  <si>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</si>
  <si>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</si>
  <si>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</si>
  <si>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</si>
  <si>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</si>
  <si>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</si>
  <si>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</si>
  <si>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</si>
  <si>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</si>
  <si>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</si>
  <si>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</si>
  <si>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</si>
  <si>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</si>
  <si>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</si>
  <si>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</si>
  <si>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</si>
  <si>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</si>
  <si>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</si>
  <si>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</si>
  <si>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</si>
  <si>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</si>
  <si>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</si>
  <si>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</si>
  <si>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</si>
  <si>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</si>
  <si>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</si>
  <si>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</si>
  <si>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</si>
  <si>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</si>
  <si>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</si>
  <si>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</si>
  <si>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</si>
  <si>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</si>
  <si>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</si>
  <si>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</si>
  <si>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</si>
  <si>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</si>
  <si>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</si>
  <si>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</si>
  <si>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</si>
  <si>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</si>
  <si>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</si>
  <si>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</si>
  <si>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</si>
  <si>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</si>
  <si>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</si>
  <si>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</si>
  <si>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</si>
  <si>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</si>
  <si>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</si>
  <si>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</si>
  <si>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</si>
  <si>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</si>
  <si>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</si>
  <si>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</si>
  <si>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</si>
  <si>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</si>
  <si>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</si>
  <si>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</si>
  <si>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</si>
  <si>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</si>
  <si>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</si>
  <si>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</si>
  <si>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</si>
  <si>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</si>
  <si>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</si>
  <si>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</si>
  <si>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</si>
  <si>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</si>
  <si>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</si>
  <si>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</si>
  <si>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</si>
  <si>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</si>
  <si>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</si>
  <si>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</si>
  <si>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</si>
  <si>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</si>
  <si>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</si>
  <si>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</si>
  <si>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</si>
  <si>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</si>
  <si>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</si>
  <si>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</si>
  <si>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</si>
  <si>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</si>
  <si>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</si>
  <si>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</si>
  <si>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</si>
  <si>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</si>
  <si>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</si>
  <si>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</si>
  <si>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</si>
  <si>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</si>
  <si>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</si>
  <si>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</si>
  <si>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</si>
  <si>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</si>
  <si>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</si>
  <si>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</si>
  <si>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</si>
  <si>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</si>
  <si>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</si>
  <si>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</si>
  <si>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</si>
  <si>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</si>
  <si>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</si>
  <si>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</si>
  <si>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Total Geral</t>
  </si>
  <si>
    <t>XBOX GAME PASS SUBSCRIPTIONS SALES</t>
  </si>
  <si>
    <t>Soma de EA Play Season Pass
Price</t>
  </si>
  <si>
    <t>Soma de Minecraft Season Pass Price</t>
  </si>
  <si>
    <t>Analysis period: January,2024 to December,2024      Last Update: October, 2026</t>
  </si>
  <si>
    <t>dio. BOOTCAMP SANTANDER - EXCEL COM IA E CLAUDE</t>
  </si>
  <si>
    <t xml:space="preserve">        DATE: OCTOBER, 2026</t>
  </si>
  <si>
    <r>
      <rPr>
        <b/>
        <sz val="18"/>
        <color theme="0" tint="-0.499984740745262"/>
        <rFont val="Segoe UI Light"/>
        <family val="2"/>
      </rPr>
      <t>LAB PROJECT</t>
    </r>
    <r>
      <rPr>
        <b/>
        <sz val="16"/>
        <color rgb="FF22C55E"/>
        <rFont val="Segoe UI Light"/>
        <family val="2"/>
      </rPr>
      <t xml:space="preserve">    CRIANDO UM DASHBOARD DE VENDAS DO XBOX NO EXCEL</t>
    </r>
  </si>
  <si>
    <r>
      <rPr>
        <sz val="14"/>
        <color theme="0" tint="-0.499984740745262"/>
        <rFont val="Segoe UI Light"/>
        <family val="2"/>
      </rPr>
      <t>PROJECT BY CLAUDIA SALOMÃO</t>
    </r>
    <r>
      <rPr>
        <sz val="11"/>
        <color theme="0" tint="-0.499984740745262"/>
        <rFont val="Segoe UI Light"/>
        <family val="2"/>
      </rPr>
      <t xml:space="preserve"> </t>
    </r>
    <r>
      <rPr>
        <sz val="11"/>
        <color theme="0" tint="-0.499984740745262"/>
        <rFont val="Segoe UI Emoji"/>
        <family val="2"/>
      </rPr>
      <t xml:space="preserve">                                                                                               </t>
    </r>
    <r>
      <rPr>
        <sz val="11"/>
        <color theme="0" tint="-0.499984740745262"/>
        <rFont val="Segoe UI Light"/>
        <family val="2"/>
      </rPr>
      <t xml:space="preserve">           SÃO PAULO - SP - BRAZIL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</si>
</sst>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mmmm\,\ yyyy;@"/>
  </numFmts>
  <fonts count="1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 Light"/>
      <family val="2"/>
    </font>
    <font>
      <b/>
      <sz val="15"/>
      <color rgb="FF22C55E"/>
      <name val="Segoe UI Light"/>
      <family val="2"/>
    </font>
    <font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  <font>
      <sz val="11"/>
      <color theme="1"/>
      <name val="Segoe UI Semibold"/>
      <family val="2"/>
    </font>
    <font>
      <b/>
      <sz val="18"/>
      <color rgb="FF22C55E"/>
      <name val="Segoe UI Light"/>
      <family val="2"/>
    </font>
    <font>
      <sz val="9"/>
      <color theme="0" tint="-0.499984740745262"/>
      <name val="Segoe UI Light"/>
      <family val="2"/>
    </font>
    <font>
      <b/>
      <sz val="15"/>
      <color theme="0" tint="-0.499984740745262"/>
      <name val="Segoe UI Light"/>
      <family val="2"/>
    </font>
    <font>
      <sz val="11"/>
      <color theme="0" tint="-0.499984740745262"/>
      <name val="Segoe UI Emoji"/>
      <family val="2"/>
    </font>
    <font>
      <sz val="11"/>
      <color theme="0" tint="-0.499984740745262"/>
      <name val="Segoe UI Light"/>
      <family val="2"/>
    </font>
    <font>
      <sz val="14"/>
      <color theme="0" tint="-0.499984740745262"/>
      <name val="Segoe UI Light"/>
      <family val="2"/>
    </font>
    <font>
      <sz val="10"/>
      <color theme="0" tint="-0.499984740745262"/>
      <name val="Segoe UI Light"/>
      <family val="2"/>
    </font>
    <font>
      <b/>
      <sz val="16"/>
      <color rgb="FF22C55E"/>
      <name val="Segoe UI Light"/>
      <family val="2"/>
    </font>
    <font>
      <b/>
      <sz val="18"/>
      <color theme="0" tint="-0.499984740745262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44" fontId="0" fillId="0" borderId="0" xfId="2" applyFont="1"/>
    <xf numFmtId="0" fontId="4" fillId="7" borderId="0" xfId="1" applyFont="1" applyFill="1" applyBorder="1" applyAlignment="1"/>
    <xf numFmtId="0" fontId="8" fillId="7" borderId="0" xfId="0" applyFont="1" applyFill="1"/>
    <xf numFmtId="165" fontId="0" fillId="0" borderId="0" xfId="0" applyNumberFormat="1"/>
    <xf numFmtId="0" fontId="6" fillId="7" borderId="0" xfId="1" applyFont="1" applyFill="1" applyBorder="1" applyAlignment="1"/>
    <xf numFmtId="0" fontId="7" fillId="7" borderId="0" xfId="1" applyFont="1" applyFill="1" applyBorder="1" applyAlignment="1"/>
    <xf numFmtId="0" fontId="7" fillId="0" borderId="0" xfId="1" applyFont="1" applyFill="1" applyBorder="1" applyAlignment="1"/>
    <xf numFmtId="0" fontId="0" fillId="8" borderId="0" xfId="0" applyFill="1"/>
    <xf numFmtId="0" fontId="8" fillId="8" borderId="0" xfId="0" applyFont="1" applyFill="1"/>
    <xf numFmtId="0" fontId="11" fillId="8" borderId="0" xfId="1" applyFont="1" applyFill="1" applyBorder="1" applyAlignment="1"/>
    <xf numFmtId="0" fontId="11" fillId="8" borderId="3" xfId="1" applyFont="1" applyFill="1" applyBorder="1" applyAlignment="1">
      <alignment horizontal="left" indent="2"/>
    </xf>
    <xf numFmtId="0" fontId="12" fillId="8" borderId="4" xfId="0" applyFont="1" applyFill="1" applyBorder="1" applyAlignment="1">
      <alignment horizontal="left" indent="2"/>
    </xf>
    <xf numFmtId="0" fontId="15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9" fillId="0" borderId="2" xfId="1" applyFont="1" applyFill="1" applyBorder="1" applyAlignment="1">
      <alignment horizontal="left" vertical="center" indent="2"/>
    </xf>
    <xf numFmtId="0" fontId="4" fillId="7" borderId="0" xfId="1" applyFont="1" applyFill="1" applyBorder="1" applyAlignment="1">
      <alignment horizontal="left" indent="2"/>
    </xf>
    <xf numFmtId="0" fontId="5" fillId="7" borderId="0" xfId="1" applyFont="1" applyFill="1" applyBorder="1" applyAlignment="1">
      <alignment horizontal="center"/>
    </xf>
    <xf numFmtId="0" fontId="10" fillId="7" borderId="0" xfId="0" applyFont="1" applyFill="1" applyAlignment="1">
      <alignment horizontal="left"/>
    </xf>
    <xf numFmtId="0" fontId="16" fillId="0" borderId="0" xfId="1" applyFont="1" applyFill="1" applyBorder="1" applyAlignment="1">
      <alignment horizontal="left" vertical="center" indent="2"/>
    </xf>
    <xf numFmtId="0" fontId="0" fillId="0" borderId="0" xfId="0" applyAlignment="1"/>
  </cellXfs>
  <cellStyles count="3">
    <cellStyle name="Moeda" xfId="2" builtinId="4"/>
    <cellStyle name="Normal" xfId="0" builtinId="0"/>
    <cellStyle name="Título 1" xfId="1" builtinId="16"/>
  </cellStyles>
  <dxfs count="75">
    <dxf>
      <alignment horizontal="center"/>
    </dxf>
    <dxf>
      <alignment horizontal="general"/>
    </dxf>
    <dxf>
      <alignment wrapText="1"/>
    </dxf>
    <dxf>
      <alignment horizontal="center"/>
    </dxf>
    <dxf>
      <alignment horizontal="general"/>
    </dxf>
    <dxf>
      <alignment wrapText="1"/>
    </dxf>
    <dxf>
      <numFmt numFmtId="164" formatCode="_-[$R$-416]\ * #,##0.00_-;\-[$R$-416]\ * #,##0.00_-;_-[$R$-416]\ * &quot;-&quot;??_-;_-@_-"/>
    </dxf>
    <dxf>
      <alignment wrapText="1"/>
    </dxf>
    <dxf>
      <alignment horizontal="left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wrapText="1"/>
    </dxf>
    <dxf>
      <alignment horizontal="center"/>
    </dxf>
    <dxf>
      <alignment horizontal="general"/>
    </dxf>
    <dxf>
      <alignment wrapText="1"/>
    </dxf>
    <dxf>
      <numFmt numFmtId="164" formatCode="_-[$R$-416]\ * #,##0.00_-;\-[$R$-416]\ * #,##0.00_-;_-[$R$-416]\ * &quot;-&quot;??_-;_-@_-"/>
    </dxf>
    <dxf>
      <alignment wrapText="1"/>
    </dxf>
    <dxf>
      <alignment horizontal="left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wrapText="1"/>
    </dxf>
    <dxf>
      <alignment horizontal="center"/>
    </dxf>
    <dxf>
      <alignment horizontal="general"/>
    </dxf>
    <dxf>
      <alignment wrapText="1"/>
    </dxf>
    <dxf>
      <numFmt numFmtId="164" formatCode="_-[$R$-416]\ * #,##0.00_-;\-[$R$-416]\ * #,##0.00_-;_-[$R$-416]\ * &quot;-&quot;??_-;_-@_-"/>
    </dxf>
    <dxf>
      <alignment wrapText="1"/>
    </dxf>
    <dxf>
      <alignment horizontal="left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wrapText="1"/>
    </dxf>
    <dxf>
      <alignment horizontal="center"/>
    </dxf>
    <dxf>
      <alignment horizontal="general"/>
    </dxf>
    <dxf>
      <alignment wrapText="1"/>
    </dxf>
    <dxf>
      <numFmt numFmtId="164" formatCode="_-[$R$-416]\ * #,##0.00_-;\-[$R$-416]\ * #,##0.00_-;_-[$R$-416]\ * &quot;-&quot;??_-;_-@_-"/>
    </dxf>
    <dxf>
      <alignment wrapText="1"/>
    </dxf>
    <dxf>
      <alignment horizontal="left"/>
    </dxf>
    <dxf>
      <alignment horizontal="center"/>
    </dxf>
    <dxf>
      <alignment horizontal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  <dxf>
      <alignment horizontal="general"/>
    </dxf>
    <dxf>
      <alignment horizontal="center"/>
    </dxf>
    <dxf>
      <alignment horizontal="left"/>
    </dxf>
    <dxf>
      <alignment wrapText="1"/>
    </dxf>
    <dxf>
      <numFmt numFmtId="164" formatCode="_-[$R$-416]\ * #,##0.00_-;\-[$R$-416]\ * #,##0.00_-;_-[$R$-416]\ * &quot;-&quot;??_-;_-@_-"/>
    </dxf>
    <dxf>
      <alignment wrapText="1"/>
    </dxf>
    <dxf>
      <alignment horizontal="general"/>
    </dxf>
    <dxf>
      <alignment horizontal="center"/>
    </dxf>
    <dxf>
      <alignment horizontal="general"/>
    </dxf>
    <dxf>
      <alignment horizontal="center"/>
    </dxf>
    <dxf>
      <font>
        <b/>
        <i val="0"/>
        <color theme="0"/>
        <name val="Segoe UI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theme="9" tint="0.79998168889431442"/>
        </patternFill>
      </fill>
      <border>
        <left style="medium">
          <color theme="2" tint="-0.499984740745262"/>
        </left>
        <right style="medium">
          <color theme="2" tint="-0.499984740745262"/>
        </right>
        <top style="medium">
          <color theme="2" tint="-0.499984740745262"/>
        </top>
        <bottom style="medium">
          <color theme="2" tint="-0.499984740745262"/>
        </bottom>
        <vertical/>
      </border>
    </dxf>
    <dxf>
      <fill>
        <gradientFill degree="90">
          <stop position="0">
            <color theme="2"/>
          </stop>
          <stop position="1">
            <color theme="2" tint="-0.25098422193060094"/>
          </stop>
        </gradient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ill>
        <patternFill>
          <f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4" defaultTableStyle="TableStyleMedium2" defaultPivotStyle="PivotStyleLight16">
    <tableStyle name="Estilo de Segmentação de Dados 1" pivot="0" table="0" count="1" xr9:uid="{4ABDB3A2-2356-41A7-B59D-6E3A62C49586}">
      <tableStyleElement type="headerRow" dxfId="74"/>
    </tableStyle>
    <tableStyle name="Estilo de Segmentação de Dados 2" pivot="0" table="0" count="1" xr9:uid="{23D346A5-B66A-4693-BE30-3ED7F43CEA46}">
      <tableStyleElement type="headerRow" dxfId="73"/>
    </tableStyle>
    <tableStyle name="Estilo_01" pivot="0" table="0" count="4" xr9:uid="{91489575-0744-45E3-AE32-763AEF9E26B1}">
      <tableStyleElement type="wholeTable" dxfId="72"/>
      <tableStyleElement type="headerRow" dxfId="71"/>
    </tableStyle>
    <tableStyle name="SlicerStyleLight3 2" pivot="0" table="0" count="10" xr9:uid="{F3BBA4ED-D1A0-4C53-9192-35D1B67B17FA}">
      <tableStyleElement type="wholeTable" dxfId="70"/>
      <tableStyleElement type="headerRow" dxfId="69"/>
    </tableStyle>
  </tableStyles>
  <colors>
    <mruColors>
      <color rgb="FF2AE6B1"/>
      <color rgb="FF22C55E"/>
      <color rgb="FFEDEDED"/>
      <color rgb="FFC2F4D4"/>
      <color rgb="FFE8E6E9"/>
      <color rgb="FF5BF6A8"/>
      <color rgb="FF000000"/>
      <color rgb="FFE0E0E0"/>
      <color rgb="FFF7F8FC"/>
      <color rgb="FF9BC848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2" tint="-9.9948118533890809E-2"/>
              <bgColor theme="6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theme="0" tint="-0.14996795556505021"/>
              <bgColor theme="0" tint="-4.9989318521683403E-2"/>
            </patternFill>
          </fill>
          <border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</border>
        </dxf>
        <dxf>
          <fill>
            <patternFill>
              <fgColor rgb="FF5BF6A8"/>
              <bgColor rgb="FF2AE6B1"/>
            </patternFill>
          </fill>
          <border>
            <left style="thin">
              <color theme="2" tint="-0.499984740745262"/>
            </left>
            <right style="thin">
              <color theme="2" tint="-0.499984740745262"/>
            </right>
            <top style="thin">
              <color theme="2" tint="-0.499984740745262"/>
            </top>
            <bottom style="thin">
              <color theme="2" tint="-0.499984740745262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_01">
          <x14:slicerStyleElements>
            <x14:slicerStyleElement type="selectedItemWithData" dxfId="9"/>
            <x14:slicerStyleElement type="selectedItemWithNoData" dxfId="8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[DIO_Bootcamp_Santander_Excel_IA_Desafio_de_Projeto_03.xlsx]C̳álculos!Tabela dinâmica1</c:name>
    <c:fmtId val="6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11219598163754"/>
          <c:y val="8.3426406360412458E-2"/>
          <c:w val="0.81041755059601484"/>
          <c:h val="0.817954128282984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C̳álculos!$B$8:$B$11</c:f>
              <c:multiLvlStrCache>
                <c:ptCount val="2"/>
                <c:lvl>
                  <c:pt idx="0">
                    <c:v>Annual</c:v>
                  </c:pt>
                  <c:pt idx="1">
                    <c:v>Monthly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C̳álculos!$C$8:$C$11</c:f>
              <c:numCache>
                <c:formatCode>_("R$"* #,##0.00_);_("R$"* \(#,##0.00\);_("R$"* "-"??_);_(@_)</c:formatCode>
                <c:ptCount val="2"/>
                <c:pt idx="0">
                  <c:v>1537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8-46C2-BC3A-CFF884612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3001455"/>
        <c:axId val="540462927"/>
      </c:barChart>
      <c:catAx>
        <c:axId val="31300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0462927"/>
        <c:crosses val="autoZero"/>
        <c:auto val="1"/>
        <c:lblAlgn val="ctr"/>
        <c:lblOffset val="100"/>
        <c:noMultiLvlLbl val="0"/>
      </c:catAx>
      <c:valAx>
        <c:axId val="540462927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1300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1</xdr:col>
      <xdr:colOff>45720</xdr:colOff>
      <xdr:row>2</xdr:row>
      <xdr:rowOff>45720</xdr:rowOff>
    </xdr:from>
    <xdr:to>
      <xdr:col>8</xdr:col>
      <xdr:colOff>1024890</xdr:colOff>
      <xdr:row>5</xdr:row>
      <xdr:rowOff>160020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2069C10-96AF-7CF8-1C90-5067EBF6E93C}"/>
            </a:ext>
          </a:extLst>
        </xdr:cNvPr>
        <xdr:cNvSpPr/>
      </xdr:nvSpPr>
      <xdr:spPr>
        <a:xfrm>
          <a:off x="655320" y="411480"/>
          <a:ext cx="8054340" cy="662940"/>
        </a:xfrm>
        <a:prstGeom prst="rect">
          <a:avLst/>
        </a:prstGeom>
        <a:solidFill>
          <a:srgbClr val="C2F4D4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Pergunta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de Negócio 1 - Qual o faturamento 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</a:rPr>
            <a:t>Total de Vendas 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dos planos anuais? (Contendo todas os tipos de assinatura)</a:t>
          </a:r>
        </a:p>
        <a:p>
          <a:pPr algn="l"/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Pergunta de Negócio 2 - Qual o faturamento 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</a:rPr>
            <a:t>Total de Vendas 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dos planos anuais? (Separando os tipos de assinatura - Com Auto Renovação ou Sem Auto Renovação)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15240</xdr:colOff>
      <xdr:row>16</xdr:row>
      <xdr:rowOff>160020</xdr:rowOff>
    </xdr:from>
    <xdr:to>
      <xdr:col>8</xdr:col>
      <xdr:colOff>887730</xdr:colOff>
      <xdr:row>18</xdr:row>
      <xdr:rowOff>106680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495FC1E-CE29-433B-B3CA-A4DD72C12B7E}"/>
            </a:ext>
          </a:extLst>
        </xdr:cNvPr>
        <xdr:cNvSpPr/>
      </xdr:nvSpPr>
      <xdr:spPr>
        <a:xfrm>
          <a:off x="624840" y="3771900"/>
          <a:ext cx="7947660" cy="312420"/>
        </a:xfrm>
        <a:prstGeom prst="rect">
          <a:avLst/>
        </a:prstGeom>
        <a:solidFill>
          <a:srgbClr val="C2F4D4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Pergunta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de Negócio 3 - Qual o faturamento 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</a:rPr>
            <a:t>Total de Vendas 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doEA Play Season Pass?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601980</xdr:colOff>
      <xdr:row>31</xdr:row>
      <xdr:rowOff>22860</xdr:rowOff>
    </xdr:from>
    <xdr:to>
      <xdr:col>8</xdr:col>
      <xdr:colOff>826770</xdr:colOff>
      <xdr:row>32</xdr:row>
      <xdr:rowOff>152400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B322090A-D881-4B05-A727-0A84185B7939}"/>
            </a:ext>
          </a:extLst>
        </xdr:cNvPr>
        <xdr:cNvSpPr/>
      </xdr:nvSpPr>
      <xdr:spPr>
        <a:xfrm>
          <a:off x="601980" y="6377940"/>
          <a:ext cx="7909560" cy="312420"/>
        </a:xfrm>
        <a:prstGeom prst="rect">
          <a:avLst/>
        </a:prstGeom>
        <a:solidFill>
          <a:srgbClr val="C2F4D4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Pergunta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de Negócio 4 - Qual o faturamento </a:t>
          </a:r>
          <a:r>
            <a:rPr lang="pt-BR" sz="1100" b="1" baseline="0">
              <a:solidFill>
                <a:schemeClr val="bg2">
                  <a:lumMod val="50000"/>
                </a:schemeClr>
              </a:solidFill>
            </a:rPr>
            <a:t>Total de Vendas 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do Minecraft Season Pass?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354330</xdr:colOff>
      <xdr:row>0</xdr:row>
      <xdr:rowOff>156445</xdr:rowOff>
    </xdr:from>
    <xdr:to>
      <xdr:col>0</xdr:col>
      <xdr:colOff>1308640</xdr:colOff>
      <xdr:row>5</xdr:row>
      <xdr:rowOff>232644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E19C79-AFE9-46D2-9E62-82D800FC4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5487" r="71947" b="14827"/>
        <a:stretch>
          <a:fillRect/>
        </a:stretch>
      </xdr:blipFill>
      <xdr:spPr>
        <a:xfrm>
          <a:off x="354330" y="156445"/>
          <a:ext cx="954310" cy="1059179"/>
        </a:xfrm>
        <a:prstGeom prst="rect">
          <a:avLst/>
        </a:prstGeom>
      </xdr:spPr>
    </xdr:pic>
    <xdr:clientData/>
  </xdr:twoCellAnchor>
  <xdr:twoCellAnchor editAs="absolute">
    <xdr:from>
      <xdr:col>2</xdr:col>
      <xdr:colOff>26569</xdr:colOff>
      <xdr:row>13</xdr:row>
      <xdr:rowOff>144782</xdr:rowOff>
    </xdr:from>
    <xdr:to>
      <xdr:col>14</xdr:col>
      <xdr:colOff>934601</xdr:colOff>
      <xdr:row>29</xdr:row>
      <xdr:rowOff>175260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3C395AB-1EDC-1385-1106-9BD0DC999E7B}"/>
            </a:ext>
          </a:extLst>
        </xdr:cNvPr>
        <xdr:cNvSpPr/>
      </xdr:nvSpPr>
      <xdr:spPr>
        <a:xfrm>
          <a:off x="1923949" y="2781302"/>
          <a:ext cx="8451832" cy="3078478"/>
        </a:xfrm>
        <a:prstGeom prst="roundRect">
          <a:avLst>
            <a:gd name="adj" fmla="val 49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239928</xdr:colOff>
      <xdr:row>15</xdr:row>
      <xdr:rowOff>190499</xdr:rowOff>
    </xdr:from>
    <xdr:to>
      <xdr:col>14</xdr:col>
      <xdr:colOff>766837</xdr:colOff>
      <xdr:row>29</xdr:row>
      <xdr:rowOff>94654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FDBA33-41B9-4A8D-86FC-72F932E00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45720</xdr:colOff>
      <xdr:row>12</xdr:row>
      <xdr:rowOff>91440</xdr:rowOff>
    </xdr:from>
    <xdr:to>
      <xdr:col>0</xdr:col>
      <xdr:colOff>1638300</xdr:colOff>
      <xdr:row>19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00EC56B7-AF4D-4BDE-B92C-337A881A4E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2537460"/>
              <a:ext cx="159258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6</xdr:row>
      <xdr:rowOff>76201</xdr:rowOff>
    </xdr:from>
    <xdr:to>
      <xdr:col>0</xdr:col>
      <xdr:colOff>1615440</xdr:colOff>
      <xdr:row>11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uto Renewal">
              <a:extLst>
                <a:ext uri="{FF2B5EF4-FFF2-40B4-BE49-F238E27FC236}">
                  <a16:creationId xmlns:a16="http://schemas.microsoft.com/office/drawing/2014/main" id="{C4376124-653B-52B3-22C7-1A70014916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379221"/>
              <a:ext cx="1577340" cy="982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41806</xdr:colOff>
      <xdr:row>5</xdr:row>
      <xdr:rowOff>239880</xdr:rowOff>
    </xdr:from>
    <xdr:to>
      <xdr:col>6</xdr:col>
      <xdr:colOff>316546</xdr:colOff>
      <xdr:row>12</xdr:row>
      <xdr:rowOff>72840</xdr:rowOff>
    </xdr:to>
    <xdr:sp macro="" textlink="C̳álculos!E12">
      <xdr:nvSpPr>
        <xdr:cNvPr id="13" name="Retângulo: Cantos Arredondados 12">
          <a:extLst>
            <a:ext uri="{FF2B5EF4-FFF2-40B4-BE49-F238E27FC236}">
              <a16:creationId xmlns:a16="http://schemas.microsoft.com/office/drawing/2014/main" id="{46E14C8D-3151-8B43-71C1-F493E03C40D3}"/>
            </a:ext>
          </a:extLst>
        </xdr:cNvPr>
        <xdr:cNvSpPr/>
      </xdr:nvSpPr>
      <xdr:spPr>
        <a:xfrm>
          <a:off x="1939186" y="1222860"/>
          <a:ext cx="2736000" cy="1296000"/>
        </a:xfrm>
        <a:prstGeom prst="roundRect">
          <a:avLst>
            <a:gd name="adj" fmla="val 700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523504D-169B-4B1A-924E-8784F5BC39FB}" type="TxLink">
            <a:rPr lang="en-US" sz="2400" b="1" i="0" u="none" strike="noStrike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pPr algn="ctr"/>
            <a:t> R$ 2.284,00 </a:t>
          </a:fld>
          <a:endParaRPr lang="pt-BR" sz="2400" b="1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6</xdr:col>
      <xdr:colOff>420900</xdr:colOff>
      <xdr:row>7</xdr:row>
      <xdr:rowOff>53340</xdr:rowOff>
    </xdr:from>
    <xdr:to>
      <xdr:col>10</xdr:col>
      <xdr:colOff>802320</xdr:colOff>
      <xdr:row>12</xdr:row>
      <xdr:rowOff>72840</xdr:rowOff>
    </xdr:to>
    <xdr:sp macro="" textlink="C̳álculos!E23">
      <xdr:nvSpPr>
        <xdr:cNvPr id="11" name="Retângulo: Cantos Arredondados 10">
          <a:extLst>
            <a:ext uri="{FF2B5EF4-FFF2-40B4-BE49-F238E27FC236}">
              <a16:creationId xmlns:a16="http://schemas.microsoft.com/office/drawing/2014/main" id="{CFE38D3E-B90A-EA8F-4977-2E8075191483}"/>
            </a:ext>
          </a:extLst>
        </xdr:cNvPr>
        <xdr:cNvSpPr/>
      </xdr:nvSpPr>
      <xdr:spPr>
        <a:xfrm>
          <a:off x="4779540" y="1546860"/>
          <a:ext cx="2736000" cy="972000"/>
        </a:xfrm>
        <a:prstGeom prst="roundRect">
          <a:avLst>
            <a:gd name="adj" fmla="val 907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E399D3AF-8AFC-4BF1-8A08-EE2DC7029649}" type="TxLink">
            <a:rPr lang="en-US" sz="2000" b="0" i="0" u="none" strike="noStrike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pPr algn="r"/>
            <a:t> R$ 870,00 </a:t>
          </a:fld>
          <a:endParaRPr lang="pt-BR" sz="2000">
            <a:solidFill>
              <a:schemeClr val="bg2">
                <a:lumMod val="50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148590</xdr:colOff>
      <xdr:row>8</xdr:row>
      <xdr:rowOff>174628</xdr:rowOff>
    </xdr:from>
    <xdr:to>
      <xdr:col>8</xdr:col>
      <xdr:colOff>430530</xdr:colOff>
      <xdr:row>10</xdr:row>
      <xdr:rowOff>172533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B726DD78-DF8E-49DC-97A6-C540B4FB4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04" b="27451"/>
        <a:stretch>
          <a:fillRect/>
        </a:stretch>
      </xdr:blipFill>
      <xdr:spPr>
        <a:xfrm>
          <a:off x="5033010" y="1858648"/>
          <a:ext cx="891540" cy="378905"/>
        </a:xfrm>
        <a:prstGeom prst="rect">
          <a:avLst/>
        </a:prstGeom>
      </xdr:spPr>
    </xdr:pic>
    <xdr:clientData/>
  </xdr:twoCellAnchor>
  <xdr:twoCellAnchor editAs="absolute">
    <xdr:from>
      <xdr:col>10</xdr:col>
      <xdr:colOff>949177</xdr:colOff>
      <xdr:row>7</xdr:row>
      <xdr:rowOff>53340</xdr:rowOff>
    </xdr:from>
    <xdr:to>
      <xdr:col>14</xdr:col>
      <xdr:colOff>950190</xdr:colOff>
      <xdr:row>12</xdr:row>
      <xdr:rowOff>72840</xdr:rowOff>
    </xdr:to>
    <xdr:sp macro="" textlink="C̳álculos!E40">
      <xdr:nvSpPr>
        <xdr:cNvPr id="16" name="Retângulo: Cantos Arredondados 15">
          <a:extLst>
            <a:ext uri="{FF2B5EF4-FFF2-40B4-BE49-F238E27FC236}">
              <a16:creationId xmlns:a16="http://schemas.microsoft.com/office/drawing/2014/main" id="{D4AF248E-D47D-4ED8-875D-67B57E74409A}"/>
            </a:ext>
          </a:extLst>
        </xdr:cNvPr>
        <xdr:cNvSpPr/>
      </xdr:nvSpPr>
      <xdr:spPr>
        <a:xfrm>
          <a:off x="7662397" y="1546860"/>
          <a:ext cx="2728973" cy="972000"/>
        </a:xfrm>
        <a:prstGeom prst="roundRect">
          <a:avLst>
            <a:gd name="adj" fmla="val 671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593E5E0F-D27F-4E7D-8474-FD19B34614E5}" type="TxLink">
            <a:rPr lang="en-US" sz="2000" b="0" i="0" u="none" strike="noStrike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pPr algn="r"/>
            <a:t> R$ 1.140,00 </a:t>
          </a:fld>
          <a:endParaRPr lang="pt-BR" sz="2000">
            <a:solidFill>
              <a:schemeClr val="bg2">
                <a:lumMod val="50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10</xdr:col>
      <xdr:colOff>1182874</xdr:colOff>
      <xdr:row>8</xdr:row>
      <xdr:rowOff>97380</xdr:rowOff>
    </xdr:from>
    <xdr:to>
      <xdr:col>13</xdr:col>
      <xdr:colOff>47488</xdr:colOff>
      <xdr:row>10</xdr:row>
      <xdr:rowOff>173580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54B23AF1-5B97-4190-8801-C27A656ADD6D}"/>
            </a:ext>
          </a:extLst>
        </xdr:cNvPr>
        <xdr:cNvGrpSpPr/>
      </xdr:nvGrpSpPr>
      <xdr:grpSpPr>
        <a:xfrm>
          <a:off x="7821799" y="1773780"/>
          <a:ext cx="922014" cy="457200"/>
          <a:chOff x="3495675" y="5400674"/>
          <a:chExt cx="1549476" cy="752476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68360B47-5C95-333E-97EE-AEB81E01BE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1BA75634-2605-B620-8A98-A5D66AD30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417300</xdr:colOff>
      <xdr:row>6</xdr:row>
      <xdr:rowOff>24531</xdr:rowOff>
    </xdr:from>
    <xdr:to>
      <xdr:col>10</xdr:col>
      <xdr:colOff>805920</xdr:colOff>
      <xdr:row>7</xdr:row>
      <xdr:rowOff>122031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EBF9D1C1-AEC2-6C74-4C67-9AF50B349A8D}"/>
            </a:ext>
          </a:extLst>
        </xdr:cNvPr>
        <xdr:cNvSpPr/>
      </xdr:nvSpPr>
      <xdr:spPr>
        <a:xfrm>
          <a:off x="5095980" y="1388511"/>
          <a:ext cx="2743200" cy="288000"/>
        </a:xfrm>
        <a:prstGeom prst="round2SameRect">
          <a:avLst>
            <a:gd name="adj1" fmla="val 27107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TOTAL SALES - EA Play Season Pass</a:t>
          </a:r>
        </a:p>
      </xdr:txBody>
    </xdr:sp>
    <xdr:clientData/>
  </xdr:twoCellAnchor>
  <xdr:twoCellAnchor editAs="absolute">
    <xdr:from>
      <xdr:col>10</xdr:col>
      <xdr:colOff>941907</xdr:colOff>
      <xdr:row>6</xdr:row>
      <xdr:rowOff>24531</xdr:rowOff>
    </xdr:from>
    <xdr:to>
      <xdr:col>14</xdr:col>
      <xdr:colOff>949840</xdr:colOff>
      <xdr:row>7</xdr:row>
      <xdr:rowOff>122031</xdr:rowOff>
    </xdr:to>
    <xdr:sp macro="" textlink="">
      <xdr:nvSpPr>
        <xdr:cNvPr id="23" name="Retângulo: Cantos Superiores Arredondados 22">
          <a:extLst>
            <a:ext uri="{FF2B5EF4-FFF2-40B4-BE49-F238E27FC236}">
              <a16:creationId xmlns:a16="http://schemas.microsoft.com/office/drawing/2014/main" id="{0C3839AA-9207-4142-81A0-8E1C68A2D731}"/>
            </a:ext>
          </a:extLst>
        </xdr:cNvPr>
        <xdr:cNvSpPr/>
      </xdr:nvSpPr>
      <xdr:spPr>
        <a:xfrm>
          <a:off x="7655127" y="1327551"/>
          <a:ext cx="2735893" cy="288000"/>
        </a:xfrm>
        <a:prstGeom prst="round2SameRect">
          <a:avLst>
            <a:gd name="adj1" fmla="val 34564"/>
            <a:gd name="adj2" fmla="val 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TOTAL SALES Minecraft Season Pass</a:t>
          </a:r>
        </a:p>
      </xdr:txBody>
    </xdr:sp>
    <xdr:clientData/>
  </xdr:twoCellAnchor>
  <xdr:twoCellAnchor editAs="absolute">
    <xdr:from>
      <xdr:col>2</xdr:col>
      <xdr:colOff>26568</xdr:colOff>
      <xdr:row>13</xdr:row>
      <xdr:rowOff>57743</xdr:rowOff>
    </xdr:from>
    <xdr:to>
      <xdr:col>14</xdr:col>
      <xdr:colOff>934600</xdr:colOff>
      <xdr:row>15</xdr:row>
      <xdr:rowOff>72743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BDE83973-9E36-4563-86D8-10677C30BB17}"/>
            </a:ext>
          </a:extLst>
        </xdr:cNvPr>
        <xdr:cNvSpPr/>
      </xdr:nvSpPr>
      <xdr:spPr>
        <a:xfrm>
          <a:off x="1923948" y="2694263"/>
          <a:ext cx="8451832" cy="3960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TOTAL SALES - XBOX GAME SUBSCRIPTIONS  </a:t>
          </a:r>
          <a:endParaRPr lang="pt-BR" sz="1100" b="1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2</xdr:col>
      <xdr:colOff>41807</xdr:colOff>
      <xdr:row>5</xdr:row>
      <xdr:rowOff>91931</xdr:rowOff>
    </xdr:from>
    <xdr:to>
      <xdr:col>6</xdr:col>
      <xdr:colOff>316547</xdr:colOff>
      <xdr:row>6</xdr:row>
      <xdr:rowOff>59891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7D8E858A-5C48-4B4E-866C-306480447001}"/>
            </a:ext>
          </a:extLst>
        </xdr:cNvPr>
        <xdr:cNvSpPr/>
      </xdr:nvSpPr>
      <xdr:spPr>
        <a:xfrm>
          <a:off x="2259227" y="1074911"/>
          <a:ext cx="2736000" cy="288000"/>
        </a:xfrm>
        <a:prstGeom prst="round2SameRect">
          <a:avLst>
            <a:gd name="adj1" fmla="val 31581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2C55E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TOTAL SALES - EA Play Season Pass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Carolina Salomão" refreshedDate="46307.688964930552" createdVersion="8" refreshedVersion="8" minRefreshableVersion="3" recordCount="295" xr:uid="{80D2AEB3-21DF-46CA-BA46-2EFB834D673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3448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s v="Yes"/>
    <n v="30"/>
    <s v="Yes"/>
    <n v="20"/>
    <n v="5"/>
    <n v="60"/>
  </r>
  <r>
    <n v="3232"/>
    <s v="Maria Oliveira"/>
    <s v="Core"/>
    <d v="2024-01-15T00:00:00"/>
    <x v="1"/>
    <n v="5"/>
    <x v="1"/>
    <s v="No"/>
    <s v="-"/>
    <s v="No"/>
    <n v="0"/>
    <n v="0"/>
    <n v="5"/>
  </r>
  <r>
    <n v="3233"/>
    <s v="Lucas Fernandes"/>
    <s v="Standard"/>
    <d v="2024-02-10T00:00:00"/>
    <x v="0"/>
    <n v="10"/>
    <x v="2"/>
    <s v="No"/>
    <s v="-"/>
    <s v="Yes"/>
    <n v="20"/>
    <n v="10"/>
    <n v="20"/>
  </r>
  <r>
    <n v="3234"/>
    <s v="Ana Souza"/>
    <s v="Ultimate"/>
    <d v="2024-02-20T00:00:00"/>
    <x v="1"/>
    <n v="15"/>
    <x v="0"/>
    <s v="Yes"/>
    <n v="30"/>
    <s v="Yes"/>
    <n v="20"/>
    <n v="3"/>
    <n v="62"/>
  </r>
  <r>
    <n v="3235"/>
    <s v="Pedro Gonçalves"/>
    <s v="Core"/>
    <d v="2024-03-05T00:00:00"/>
    <x v="0"/>
    <n v="5"/>
    <x v="0"/>
    <s v="No"/>
    <s v="-"/>
    <s v="No"/>
    <n v="0"/>
    <n v="1"/>
    <n v="4"/>
  </r>
  <r>
    <n v="3236"/>
    <s v="Felipe Costa"/>
    <s v="Standard"/>
    <d v="2024-03-02T00:00:00"/>
    <x v="1"/>
    <n v="10"/>
    <x v="0"/>
    <s v="No"/>
    <s v="-"/>
    <s v="Yes"/>
    <n v="20"/>
    <n v="2"/>
    <n v="28"/>
  </r>
  <r>
    <n v="3237"/>
    <s v="Camila Ribeiro"/>
    <s v="Ultimate"/>
    <d v="2024-03-03T00:00:00"/>
    <x v="0"/>
    <n v="15"/>
    <x v="2"/>
    <s v="Yes"/>
    <n v="30"/>
    <s v="Yes"/>
    <n v="20"/>
    <n v="10"/>
    <n v="55"/>
  </r>
  <r>
    <n v="3238"/>
    <s v="André Mendes"/>
    <s v="Core"/>
    <d v="2024-03-04T00:00:00"/>
    <x v="0"/>
    <n v="5"/>
    <x v="1"/>
    <s v="No"/>
    <s v="-"/>
    <s v="No"/>
    <n v="0"/>
    <n v="0"/>
    <n v="5"/>
  </r>
  <r>
    <n v="3239"/>
    <s v="Sofia Almeida"/>
    <s v="Ultimate"/>
    <d v="2024-03-05T00:00:00"/>
    <x v="1"/>
    <n v="15"/>
    <x v="0"/>
    <s v="Yes"/>
    <n v="30"/>
    <s v="Yes"/>
    <n v="20"/>
    <n v="5"/>
    <n v="60"/>
  </r>
  <r>
    <n v="3240"/>
    <s v="Bruno Martins"/>
    <s v="Standard"/>
    <d v="2024-03-06T00:00:00"/>
    <x v="0"/>
    <n v="10"/>
    <x v="2"/>
    <s v="No"/>
    <s v="-"/>
    <s v="Yes"/>
    <n v="20"/>
    <n v="15"/>
    <n v="15"/>
  </r>
  <r>
    <n v="3241"/>
    <s v="Rita Castro"/>
    <s v="Core"/>
    <d v="2024-03-07T00:00:00"/>
    <x v="1"/>
    <n v="5"/>
    <x v="0"/>
    <s v="No"/>
    <s v="-"/>
    <s v="No"/>
    <n v="0"/>
    <n v="1"/>
    <n v="4"/>
  </r>
  <r>
    <n v="3242"/>
    <s v="Marco Túlio"/>
    <s v="Ultimate"/>
    <d v="2024-03-08T00:00:00"/>
    <x v="0"/>
    <n v="15"/>
    <x v="1"/>
    <s v="Yes"/>
    <n v="30"/>
    <s v="Yes"/>
    <n v="20"/>
    <n v="20"/>
    <n v="45"/>
  </r>
  <r>
    <n v="3243"/>
    <s v="Lívia Silveira"/>
    <s v="Standard"/>
    <d v="2024-03-09T00:00:00"/>
    <x v="1"/>
    <n v="10"/>
    <x v="0"/>
    <s v="No"/>
    <s v="-"/>
    <s v="Yes"/>
    <n v="20"/>
    <n v="10"/>
    <n v="20"/>
  </r>
  <r>
    <n v="3244"/>
    <s v="Diogo Sousa"/>
    <s v="Core"/>
    <d v="2024-03-10T00:00:00"/>
    <x v="0"/>
    <n v="5"/>
    <x v="2"/>
    <s v="No"/>
    <s v="-"/>
    <s v="No"/>
    <n v="0"/>
    <n v="0"/>
    <n v="5"/>
  </r>
  <r>
    <n v="3245"/>
    <s v="Fernanda Lima"/>
    <s v="Ultimate"/>
    <d v="2024-03-11T00:00:00"/>
    <x v="1"/>
    <n v="15"/>
    <x v="0"/>
    <s v="Yes"/>
    <n v="30"/>
    <s v="Yes"/>
    <n v="20"/>
    <n v="8"/>
    <n v="57"/>
  </r>
  <r>
    <n v="3246"/>
    <s v="Caio Pereira"/>
    <s v="Standard"/>
    <d v="2024-03-12T00:00:00"/>
    <x v="0"/>
    <n v="10"/>
    <x v="1"/>
    <s v="No"/>
    <s v="-"/>
    <s v="Yes"/>
    <n v="20"/>
    <n v="12"/>
    <n v="18"/>
  </r>
  <r>
    <n v="3247"/>
    <s v="Beatriz Gomes"/>
    <s v="Core"/>
    <d v="2024-03-13T00:00:00"/>
    <x v="1"/>
    <n v="5"/>
    <x v="0"/>
    <s v="No"/>
    <s v="-"/>
    <s v="No"/>
    <n v="0"/>
    <n v="2"/>
    <n v="3"/>
  </r>
  <r>
    <n v="3248"/>
    <s v="Cesar Oliveira"/>
    <s v="Ultimate"/>
    <d v="2024-03-14T00:00:00"/>
    <x v="0"/>
    <n v="15"/>
    <x v="2"/>
    <s v="Yes"/>
    <n v="30"/>
    <s v="Yes"/>
    <n v="20"/>
    <n v="7"/>
    <n v="58"/>
  </r>
  <r>
    <n v="3249"/>
    <s v="Débora Machado"/>
    <s v="Standard"/>
    <d v="2024-03-15T00:00:00"/>
    <x v="1"/>
    <n v="10"/>
    <x v="0"/>
    <s v="No"/>
    <s v="-"/>
    <s v="Yes"/>
    <n v="20"/>
    <n v="5"/>
    <n v="25"/>
  </r>
  <r>
    <n v="3250"/>
    <s v="Eduardo Vargas"/>
    <s v="Core"/>
    <d v="2024-03-16T00:00:00"/>
    <x v="0"/>
    <n v="5"/>
    <x v="1"/>
    <s v="No"/>
    <s v="-"/>
    <s v="No"/>
    <n v="0"/>
    <n v="0"/>
    <n v="5"/>
  </r>
  <r>
    <n v="3251"/>
    <s v="Gabriela Santos"/>
    <s v="Ultimate"/>
    <d v="2024-03-17T00:00:00"/>
    <x v="1"/>
    <n v="15"/>
    <x v="0"/>
    <s v="Yes"/>
    <n v="30"/>
    <s v="Yes"/>
    <n v="20"/>
    <n v="3"/>
    <n v="62"/>
  </r>
  <r>
    <n v="3252"/>
    <s v="Henrique Dias"/>
    <s v="Standard"/>
    <d v="2024-03-18T00:00:00"/>
    <x v="0"/>
    <n v="10"/>
    <x v="2"/>
    <s v="No"/>
    <s v="-"/>
    <s v="Yes"/>
    <n v="20"/>
    <n v="15"/>
    <n v="15"/>
  </r>
  <r>
    <n v="3253"/>
    <s v="Isabela Moreira"/>
    <s v="Core"/>
    <d v="2024-03-19T00:00:00"/>
    <x v="1"/>
    <n v="5"/>
    <x v="0"/>
    <s v="No"/>
    <s v="-"/>
    <s v="No"/>
    <n v="0"/>
    <n v="1"/>
    <n v="4"/>
  </r>
  <r>
    <n v="3254"/>
    <s v="Joaquim Barbosa"/>
    <s v="Ultimate"/>
    <d v="2024-03-20T00:00:00"/>
    <x v="0"/>
    <n v="15"/>
    <x v="1"/>
    <s v="Yes"/>
    <n v="30"/>
    <s v="Yes"/>
    <n v="20"/>
    <n v="20"/>
    <n v="45"/>
  </r>
  <r>
    <n v="3255"/>
    <s v="Lara Rocha"/>
    <s v="Standard"/>
    <d v="2024-03-21T00:00:00"/>
    <x v="1"/>
    <n v="10"/>
    <x v="0"/>
    <s v="No"/>
    <s v="-"/>
    <s v="Yes"/>
    <n v="20"/>
    <n v="10"/>
    <n v="20"/>
  </r>
  <r>
    <n v="3256"/>
    <s v="Matheus Silva"/>
    <s v="Core"/>
    <d v="2024-03-22T00:00:00"/>
    <x v="0"/>
    <n v="5"/>
    <x v="2"/>
    <s v="No"/>
    <s v="-"/>
    <s v="No"/>
    <n v="0"/>
    <n v="0"/>
    <n v="5"/>
  </r>
  <r>
    <n v="3257"/>
    <s v="Nicole Costa"/>
    <s v="Ultimate"/>
    <d v="2024-03-23T00:00:00"/>
    <x v="1"/>
    <n v="15"/>
    <x v="0"/>
    <s v="Yes"/>
    <n v="30"/>
    <s v="Yes"/>
    <n v="20"/>
    <n v="5"/>
    <n v="60"/>
  </r>
  <r>
    <n v="3258"/>
    <s v="Otávio Mendonça"/>
    <s v="Standard"/>
    <d v="2024-03-24T00:00:00"/>
    <x v="0"/>
    <n v="10"/>
    <x v="1"/>
    <s v="No"/>
    <s v="-"/>
    <s v="Yes"/>
    <n v="20"/>
    <n v="15"/>
    <n v="15"/>
  </r>
  <r>
    <n v="3259"/>
    <s v="Paula Ferreira"/>
    <s v="Core"/>
    <d v="2024-03-25T00:00:00"/>
    <x v="1"/>
    <n v="5"/>
    <x v="0"/>
    <s v="No"/>
    <s v="-"/>
    <s v="No"/>
    <n v="0"/>
    <n v="1"/>
    <n v="4"/>
  </r>
  <r>
    <n v="3260"/>
    <s v="Raquel Alves"/>
    <s v="Ultimate"/>
    <d v="2024-03-26T00:00:00"/>
    <x v="0"/>
    <n v="15"/>
    <x v="2"/>
    <s v="Yes"/>
    <n v="30"/>
    <s v="Yes"/>
    <n v="20"/>
    <n v="7"/>
    <n v="58"/>
  </r>
  <r>
    <n v="3261"/>
    <s v="Samuel Pires"/>
    <s v="Standard"/>
    <d v="2024-03-27T00:00:00"/>
    <x v="1"/>
    <n v="10"/>
    <x v="0"/>
    <s v="No"/>
    <s v="-"/>
    <s v="Yes"/>
    <n v="20"/>
    <n v="10"/>
    <n v="20"/>
  </r>
  <r>
    <n v="3262"/>
    <s v="Tânia Barros"/>
    <s v="Core"/>
    <d v="2024-03-28T00:00:00"/>
    <x v="0"/>
    <n v="5"/>
    <x v="1"/>
    <s v="No"/>
    <s v="-"/>
    <s v="No"/>
    <n v="0"/>
    <n v="0"/>
    <n v="5"/>
  </r>
  <r>
    <n v="3263"/>
    <s v="Vinicius Lima"/>
    <s v="Ultimate"/>
    <d v="2024-03-29T00:00:00"/>
    <x v="1"/>
    <n v="15"/>
    <x v="0"/>
    <s v="Yes"/>
    <n v="30"/>
    <s v="Yes"/>
    <n v="20"/>
    <n v="3"/>
    <n v="62"/>
  </r>
  <r>
    <n v="3264"/>
    <s v="Yasmin Teixeira"/>
    <s v="Standard"/>
    <d v="2024-03-30T00:00:00"/>
    <x v="0"/>
    <n v="10"/>
    <x v="2"/>
    <s v="No"/>
    <s v="-"/>
    <s v="Yes"/>
    <n v="20"/>
    <n v="15"/>
    <n v="15"/>
  </r>
  <r>
    <n v="3265"/>
    <s v="Zé Carlos"/>
    <s v="Core"/>
    <d v="2024-03-31T00:00:00"/>
    <x v="1"/>
    <n v="5"/>
    <x v="0"/>
    <s v="No"/>
    <s v="-"/>
    <s v="No"/>
    <n v="0"/>
    <n v="1"/>
    <n v="4"/>
  </r>
  <r>
    <n v="3266"/>
    <s v="Amanda Nogueira"/>
    <s v="Core"/>
    <d v="2024-04-01T00:00:00"/>
    <x v="0"/>
    <n v="5"/>
    <x v="0"/>
    <s v="No"/>
    <s v="-"/>
    <s v="No"/>
    <n v="0"/>
    <n v="0"/>
    <n v="5"/>
  </r>
  <r>
    <n v="3267"/>
    <s v="Bruno Cavalheiro"/>
    <s v="Ultimate"/>
    <d v="2024-04-02T00:00:00"/>
    <x v="1"/>
    <n v="15"/>
    <x v="2"/>
    <s v="Yes"/>
    <n v="30"/>
    <s v="Yes"/>
    <n v="20"/>
    <n v="7"/>
    <n v="58"/>
  </r>
  <r>
    <n v="3268"/>
    <s v="Carla Dias"/>
    <s v="Standard"/>
    <d v="2024-04-03T00:00:00"/>
    <x v="0"/>
    <n v="10"/>
    <x v="1"/>
    <s v="No"/>
    <s v="-"/>
    <s v="Yes"/>
    <n v="20"/>
    <n v="10"/>
    <n v="20"/>
  </r>
  <r>
    <n v="3269"/>
    <s v="Diego Fontes"/>
    <s v="Core"/>
    <d v="2024-04-04T00:00:00"/>
    <x v="1"/>
    <n v="5"/>
    <x v="2"/>
    <s v="No"/>
    <s v="-"/>
    <s v="No"/>
    <n v="0"/>
    <n v="1"/>
    <n v="4"/>
  </r>
  <r>
    <n v="3270"/>
    <s v="Eunice Lima"/>
    <s v="Ultimate"/>
    <d v="2024-04-05T00:00:00"/>
    <x v="0"/>
    <n v="15"/>
    <x v="0"/>
    <s v="Yes"/>
    <n v="30"/>
    <s v="Yes"/>
    <n v="20"/>
    <n v="15"/>
    <n v="50"/>
  </r>
  <r>
    <n v="3271"/>
    <s v="Fábio Martins"/>
    <s v="Standard"/>
    <d v="2024-04-06T00:00:00"/>
    <x v="1"/>
    <n v="10"/>
    <x v="0"/>
    <s v="No"/>
    <s v="-"/>
    <s v="Yes"/>
    <n v="20"/>
    <n v="5"/>
    <n v="25"/>
  </r>
  <r>
    <n v="3272"/>
    <s v="Gisele Araújo"/>
    <s v="Core"/>
    <d v="2024-04-07T00:00:00"/>
    <x v="0"/>
    <n v="5"/>
    <x v="1"/>
    <s v="No"/>
    <s v="-"/>
    <s v="No"/>
    <n v="0"/>
    <n v="0"/>
    <n v="5"/>
  </r>
  <r>
    <n v="3273"/>
    <s v="Hélio Castro"/>
    <s v="Ultimate"/>
    <d v="2024-04-08T00:00:00"/>
    <x v="1"/>
    <n v="15"/>
    <x v="2"/>
    <s v="Yes"/>
    <n v="30"/>
    <s v="Yes"/>
    <n v="20"/>
    <n v="20"/>
    <n v="45"/>
  </r>
  <r>
    <n v="3274"/>
    <s v="Ingrid Menezes"/>
    <s v="Standard"/>
    <d v="2024-04-09T00:00:00"/>
    <x v="0"/>
    <n v="10"/>
    <x v="2"/>
    <s v="No"/>
    <s v="-"/>
    <s v="Yes"/>
    <n v="20"/>
    <n v="12"/>
    <n v="18"/>
  </r>
  <r>
    <n v="3275"/>
    <s v="Jorge Baptista"/>
    <s v="Core"/>
    <d v="2024-04-10T00:00:00"/>
    <x v="1"/>
    <n v="5"/>
    <x v="0"/>
    <s v="No"/>
    <s v="-"/>
    <s v="No"/>
    <n v="0"/>
    <n v="2"/>
    <n v="3"/>
  </r>
  <r>
    <n v="3276"/>
    <s v="Kléber Oliveira"/>
    <s v="Ultimate"/>
    <d v="2024-04-11T00:00:00"/>
    <x v="0"/>
    <n v="15"/>
    <x v="1"/>
    <s v="Yes"/>
    <n v="30"/>
    <s v="Yes"/>
    <n v="20"/>
    <n v="5"/>
    <n v="60"/>
  </r>
  <r>
    <n v="3277"/>
    <s v="Luciana Freitas"/>
    <s v="Standard"/>
    <d v="2024-04-12T00:00:00"/>
    <x v="1"/>
    <n v="10"/>
    <x v="0"/>
    <s v="No"/>
    <s v="-"/>
    <s v="Yes"/>
    <n v="20"/>
    <n v="10"/>
    <n v="20"/>
  </r>
  <r>
    <n v="3278"/>
    <s v="Márcia Eller"/>
    <s v="Core"/>
    <d v="2024-04-13T00:00:00"/>
    <x v="0"/>
    <n v="5"/>
    <x v="2"/>
    <s v="No"/>
    <s v="-"/>
    <s v="No"/>
    <n v="0"/>
    <n v="0"/>
    <n v="5"/>
  </r>
  <r>
    <n v="3279"/>
    <s v="Nilo Peçanha"/>
    <s v="Ultimate"/>
    <d v="2024-04-14T00:00:00"/>
    <x v="1"/>
    <n v="15"/>
    <x v="0"/>
    <s v="Yes"/>
    <n v="30"/>
    <s v="Yes"/>
    <n v="20"/>
    <n v="3"/>
    <n v="62"/>
  </r>
  <r>
    <n v="3280"/>
    <s v="Oscar Neves"/>
    <s v="Standard"/>
    <d v="2024-04-15T00:00:00"/>
    <x v="0"/>
    <n v="10"/>
    <x v="1"/>
    <s v="No"/>
    <s v="-"/>
    <s v="Yes"/>
    <n v="20"/>
    <n v="15"/>
    <n v="15"/>
  </r>
  <r>
    <n v="3281"/>
    <s v="Patrícia Soares"/>
    <s v="Core"/>
    <d v="2024-04-16T00:00:00"/>
    <x v="1"/>
    <n v="5"/>
    <x v="0"/>
    <s v="No"/>
    <s v="-"/>
    <s v="No"/>
    <n v="0"/>
    <n v="1"/>
    <n v="4"/>
  </r>
  <r>
    <n v="3282"/>
    <s v="Quirino Gonçalves"/>
    <s v="Ultimate"/>
    <d v="2024-04-17T00:00:00"/>
    <x v="0"/>
    <n v="15"/>
    <x v="2"/>
    <s v="Yes"/>
    <n v="30"/>
    <s v="Yes"/>
    <n v="20"/>
    <n v="7"/>
    <n v="58"/>
  </r>
  <r>
    <n v="3283"/>
    <s v="Raul Machado"/>
    <s v="Standard"/>
    <d v="2024-04-18T00:00:00"/>
    <x v="1"/>
    <n v="10"/>
    <x v="0"/>
    <s v="No"/>
    <s v="-"/>
    <s v="Yes"/>
    <n v="20"/>
    <n v="10"/>
    <n v="20"/>
  </r>
  <r>
    <n v="3284"/>
    <s v="Sônia Lobo"/>
    <s v="Core"/>
    <d v="2024-04-19T00:00:00"/>
    <x v="0"/>
    <n v="5"/>
    <x v="1"/>
    <s v="No"/>
    <s v="-"/>
    <s v="No"/>
    <n v="0"/>
    <n v="0"/>
    <n v="5"/>
  </r>
  <r>
    <n v="3285"/>
    <s v="Tiago Ramos"/>
    <s v="Ultimate"/>
    <d v="2024-04-20T00:00:00"/>
    <x v="1"/>
    <n v="15"/>
    <x v="0"/>
    <s v="Yes"/>
    <n v="30"/>
    <s v="Yes"/>
    <n v="20"/>
    <n v="20"/>
    <n v="45"/>
  </r>
  <r>
    <n v="3286"/>
    <s v="Ugo Pires"/>
    <s v="Standard"/>
    <d v="2024-04-21T00:00:00"/>
    <x v="0"/>
    <n v="10"/>
    <x v="2"/>
    <s v="No"/>
    <s v="-"/>
    <s v="Yes"/>
    <n v="20"/>
    <n v="15"/>
    <n v="15"/>
  </r>
  <r>
    <n v="3287"/>
    <s v="Valéria Nobre"/>
    <s v="Core"/>
    <d v="2024-04-22T00:00:00"/>
    <x v="1"/>
    <n v="5"/>
    <x v="0"/>
    <s v="No"/>
    <s v="-"/>
    <s v="No"/>
    <n v="0"/>
    <n v="1"/>
    <n v="4"/>
  </r>
  <r>
    <n v="3288"/>
    <s v="William Siqueira"/>
    <s v="Ultimate"/>
    <d v="2024-04-23T00:00:00"/>
    <x v="0"/>
    <n v="15"/>
    <x v="1"/>
    <s v="Yes"/>
    <n v="30"/>
    <s v="Yes"/>
    <n v="20"/>
    <n v="3"/>
    <n v="62"/>
  </r>
  <r>
    <n v="3289"/>
    <s v="Xuxa Meneghel"/>
    <s v="Standard"/>
    <d v="2024-04-24T00:00:00"/>
    <x v="1"/>
    <n v="10"/>
    <x v="0"/>
    <s v="No"/>
    <s v="-"/>
    <s v="Yes"/>
    <n v="20"/>
    <n v="10"/>
    <n v="20"/>
  </r>
  <r>
    <n v="3290"/>
    <s v="Yara Figueiredo"/>
    <s v="Core"/>
    <d v="2024-04-25T00:00:00"/>
    <x v="0"/>
    <n v="5"/>
    <x v="2"/>
    <s v="No"/>
    <s v="-"/>
    <s v="No"/>
    <n v="0"/>
    <n v="0"/>
    <n v="5"/>
  </r>
  <r>
    <n v="3291"/>
    <s v="Zacarias Alves"/>
    <s v="Ultimate"/>
    <d v="2024-04-26T00:00:00"/>
    <x v="1"/>
    <n v="15"/>
    <x v="0"/>
    <s v="Yes"/>
    <n v="30"/>
    <s v="Yes"/>
    <n v="20"/>
    <n v="5"/>
    <n v="60"/>
  </r>
  <r>
    <n v="3292"/>
    <s v="Amanda Bynes"/>
    <s v="Standard"/>
    <d v="2024-04-27T00:00:00"/>
    <x v="0"/>
    <n v="10"/>
    <x v="1"/>
    <s v="No"/>
    <s v="-"/>
    <s v="Yes"/>
    <n v="20"/>
    <n v="15"/>
    <n v="15"/>
  </r>
  <r>
    <n v="3293"/>
    <s v="Bruno Mars"/>
    <s v="Core"/>
    <d v="2024-04-28T00:00:00"/>
    <x v="1"/>
    <n v="5"/>
    <x v="0"/>
    <s v="No"/>
    <s v="-"/>
    <s v="No"/>
    <n v="0"/>
    <n v="1"/>
    <n v="4"/>
  </r>
  <r>
    <n v="3294"/>
    <s v="Carla Bruni"/>
    <s v="Ultimate"/>
    <d v="2024-04-29T00:00:00"/>
    <x v="0"/>
    <n v="15"/>
    <x v="2"/>
    <s v="Yes"/>
    <n v="30"/>
    <s v="Yes"/>
    <n v="20"/>
    <n v="20"/>
    <n v="45"/>
  </r>
  <r>
    <n v="3295"/>
    <s v="Diego Maradona"/>
    <s v="Standard"/>
    <d v="2024-04-30T00:00:00"/>
    <x v="1"/>
    <n v="10"/>
    <x v="0"/>
    <s v="No"/>
    <s v="-"/>
    <s v="Yes"/>
    <n v="20"/>
    <n v="5"/>
    <n v="25"/>
  </r>
  <r>
    <n v="3296"/>
    <s v="Estela Marques"/>
    <s v="Core"/>
    <d v="2024-05-01T00:00:00"/>
    <x v="1"/>
    <n v="5"/>
    <x v="0"/>
    <s v="No"/>
    <s v="-"/>
    <s v="No"/>
    <n v="0"/>
    <n v="0"/>
    <n v="5"/>
  </r>
  <r>
    <n v="3297"/>
    <s v="Fábio Nobre"/>
    <s v="Ultimate"/>
    <d v="2024-05-02T00:00:00"/>
    <x v="0"/>
    <n v="15"/>
    <x v="2"/>
    <s v="Yes"/>
    <n v="30"/>
    <s v="Yes"/>
    <n v="20"/>
    <n v="7"/>
    <n v="58"/>
  </r>
  <r>
    <n v="3298"/>
    <s v="Gabriel Oliveira"/>
    <s v="Standard"/>
    <d v="2024-05-03T00:00:00"/>
    <x v="1"/>
    <n v="10"/>
    <x v="1"/>
    <s v="No"/>
    <s v="-"/>
    <s v="Yes"/>
    <n v="20"/>
    <n v="10"/>
    <n v="20"/>
  </r>
  <r>
    <n v="3299"/>
    <s v="Helena Santos"/>
    <s v="Core"/>
    <d v="2024-05-04T00:00:00"/>
    <x v="0"/>
    <n v="5"/>
    <x v="2"/>
    <s v="No"/>
    <s v="-"/>
    <s v="No"/>
    <n v="0"/>
    <n v="1"/>
    <n v="4"/>
  </r>
  <r>
    <n v="3300"/>
    <s v="Ivan Carvalho"/>
    <s v="Ultimate"/>
    <d v="2024-05-05T00:00:00"/>
    <x v="1"/>
    <n v="15"/>
    <x v="0"/>
    <s v="Yes"/>
    <n v="30"/>
    <s v="Yes"/>
    <n v="20"/>
    <n v="15"/>
    <n v="50"/>
  </r>
  <r>
    <n v="3301"/>
    <s v="Júlia Ferreira"/>
    <s v="Standard"/>
    <d v="2024-05-06T00:00:00"/>
    <x v="0"/>
    <n v="10"/>
    <x v="0"/>
    <s v="No"/>
    <s v="-"/>
    <s v="Yes"/>
    <n v="20"/>
    <n v="5"/>
    <n v="25"/>
  </r>
  <r>
    <n v="3302"/>
    <s v="Karla Alves"/>
    <s v="Core"/>
    <d v="2024-05-07T00:00:00"/>
    <x v="1"/>
    <n v="5"/>
    <x v="1"/>
    <s v="No"/>
    <s v="-"/>
    <s v="No"/>
    <n v="0"/>
    <n v="0"/>
    <n v="5"/>
  </r>
  <r>
    <n v="3303"/>
    <s v="Lucas Mendes"/>
    <s v="Ultimate"/>
    <d v="2024-05-08T00:00:00"/>
    <x v="0"/>
    <n v="15"/>
    <x v="2"/>
    <s v="Yes"/>
    <n v="30"/>
    <s v="Yes"/>
    <n v="20"/>
    <n v="20"/>
    <n v="45"/>
  </r>
  <r>
    <n v="3304"/>
    <s v="Mônica Gomes"/>
    <s v="Standard"/>
    <d v="2024-05-09T00:00:00"/>
    <x v="1"/>
    <n v="10"/>
    <x v="2"/>
    <s v="No"/>
    <s v="-"/>
    <s v="Yes"/>
    <n v="20"/>
    <n v="12"/>
    <n v="18"/>
  </r>
  <r>
    <n v="3305"/>
    <s v="Norberto Queiroz"/>
    <s v="Core"/>
    <d v="2024-05-10T00:00:00"/>
    <x v="0"/>
    <n v="5"/>
    <x v="0"/>
    <s v="No"/>
    <s v="-"/>
    <s v="No"/>
    <n v="0"/>
    <n v="2"/>
    <n v="3"/>
  </r>
  <r>
    <n v="3306"/>
    <s v="Otávio Barros"/>
    <s v="Ultimate"/>
    <d v="2024-05-11T00:00:00"/>
    <x v="1"/>
    <n v="15"/>
    <x v="1"/>
    <s v="Yes"/>
    <n v="30"/>
    <s v="Yes"/>
    <n v="20"/>
    <n v="5"/>
    <n v="60"/>
  </r>
  <r>
    <n v="3307"/>
    <s v="Paula Vieira"/>
    <s v="Standard"/>
    <d v="2024-05-12T00:00:00"/>
    <x v="0"/>
    <n v="10"/>
    <x v="0"/>
    <s v="No"/>
    <s v="-"/>
    <s v="Yes"/>
    <n v="20"/>
    <n v="10"/>
    <n v="20"/>
  </r>
  <r>
    <n v="3308"/>
    <s v="Quentin Ramos"/>
    <s v="Core"/>
    <d v="2024-05-13T00:00:00"/>
    <x v="1"/>
    <n v="5"/>
    <x v="2"/>
    <s v="No"/>
    <s v="-"/>
    <s v="No"/>
    <n v="0"/>
    <n v="0"/>
    <n v="5"/>
  </r>
  <r>
    <n v="3309"/>
    <s v="Raquel Novaes"/>
    <s v="Ultimate"/>
    <d v="2024-05-14T00:00:00"/>
    <x v="0"/>
    <n v="15"/>
    <x v="0"/>
    <s v="Yes"/>
    <n v="30"/>
    <s v="Yes"/>
    <n v="20"/>
    <n v="3"/>
    <n v="62"/>
  </r>
  <r>
    <n v="3310"/>
    <s v="Samantha Lopes"/>
    <s v="Standard"/>
    <d v="2024-05-15T00:00:00"/>
    <x v="1"/>
    <n v="10"/>
    <x v="1"/>
    <s v="No"/>
    <s v="-"/>
    <s v="Yes"/>
    <n v="20"/>
    <n v="15"/>
    <n v="15"/>
  </r>
  <r>
    <n v="3311"/>
    <s v="Tiago Martins"/>
    <s v="Core"/>
    <d v="2024-05-16T00:00:00"/>
    <x v="0"/>
    <n v="5"/>
    <x v="0"/>
    <s v="No"/>
    <s v="-"/>
    <s v="No"/>
    <n v="0"/>
    <n v="1"/>
    <n v="4"/>
  </r>
  <r>
    <n v="3312"/>
    <s v="Ulysses Guimarães"/>
    <s v="Ultimate"/>
    <d v="2024-05-17T00:00:00"/>
    <x v="1"/>
    <n v="15"/>
    <x v="2"/>
    <s v="Yes"/>
    <n v="30"/>
    <s v="Yes"/>
    <n v="20"/>
    <n v="7"/>
    <n v="58"/>
  </r>
  <r>
    <n v="3313"/>
    <s v="Vanessa Silva"/>
    <s v="Standard"/>
    <d v="2024-05-18T00:00:00"/>
    <x v="0"/>
    <n v="10"/>
    <x v="0"/>
    <s v="No"/>
    <s v="-"/>
    <s v="Yes"/>
    <n v="20"/>
    <n v="10"/>
    <n v="20"/>
  </r>
  <r>
    <n v="3314"/>
    <s v="William Carneiro"/>
    <s v="Core"/>
    <d v="2024-05-19T00:00:00"/>
    <x v="1"/>
    <n v="5"/>
    <x v="1"/>
    <s v="No"/>
    <s v="-"/>
    <s v="No"/>
    <n v="0"/>
    <n v="0"/>
    <n v="5"/>
  </r>
  <r>
    <n v="3315"/>
    <s v="Ximena Rocha"/>
    <s v="Ultimate"/>
    <d v="2024-05-20T00:00:00"/>
    <x v="0"/>
    <n v="15"/>
    <x v="0"/>
    <s v="Yes"/>
    <n v="30"/>
    <s v="Yes"/>
    <n v="20"/>
    <n v="20"/>
    <n v="45"/>
  </r>
  <r>
    <n v="3316"/>
    <s v="Yasmin Figueiredo"/>
    <s v="Standard"/>
    <d v="2024-05-21T00:00:00"/>
    <x v="1"/>
    <n v="10"/>
    <x v="2"/>
    <s v="No"/>
    <s v="-"/>
    <s v="Yes"/>
    <n v="20"/>
    <n v="15"/>
    <n v="15"/>
  </r>
  <r>
    <n v="3317"/>
    <s v="Zara Cunha"/>
    <s v="Core"/>
    <d v="2024-05-22T00:00:00"/>
    <x v="0"/>
    <n v="5"/>
    <x v="0"/>
    <s v="No"/>
    <s v="-"/>
    <s v="No"/>
    <n v="0"/>
    <n v="1"/>
    <n v="4"/>
  </r>
  <r>
    <n v="3318"/>
    <s v="Alan Teixeira"/>
    <s v="Ultimate"/>
    <d v="2024-05-23T00:00:00"/>
    <x v="1"/>
    <n v="15"/>
    <x v="1"/>
    <s v="Yes"/>
    <n v="30"/>
    <s v="Yes"/>
    <n v="20"/>
    <n v="3"/>
    <n v="62"/>
  </r>
  <r>
    <n v="3319"/>
    <s v="Bárbara Oliveira"/>
    <s v="Standard"/>
    <d v="2024-05-24T00:00:00"/>
    <x v="0"/>
    <n v="10"/>
    <x v="0"/>
    <s v="No"/>
    <s v="-"/>
    <s v="Yes"/>
    <n v="20"/>
    <n v="10"/>
    <n v="20"/>
  </r>
  <r>
    <n v="3320"/>
    <s v="Carlos Junqueira"/>
    <s v="Core"/>
    <d v="2024-05-25T00:00:00"/>
    <x v="1"/>
    <n v="5"/>
    <x v="2"/>
    <s v="No"/>
    <s v="-"/>
    <s v="No"/>
    <n v="0"/>
    <n v="0"/>
    <n v="5"/>
  </r>
  <r>
    <n v="3321"/>
    <s v="Daniela Moura"/>
    <s v="Ultimate"/>
    <d v="2024-05-26T00:00:00"/>
    <x v="0"/>
    <n v="15"/>
    <x v="0"/>
    <s v="Yes"/>
    <n v="30"/>
    <s v="Yes"/>
    <n v="20"/>
    <n v="5"/>
    <n v="60"/>
  </r>
  <r>
    <n v="3322"/>
    <s v="Eduardo Lima"/>
    <s v="Standard"/>
    <d v="2024-05-27T00:00:00"/>
    <x v="1"/>
    <n v="10"/>
    <x v="1"/>
    <s v="No"/>
    <s v="-"/>
    <s v="Yes"/>
    <n v="20"/>
    <n v="15"/>
    <n v="15"/>
  </r>
  <r>
    <n v="3323"/>
    <s v="Fabiana Araújo"/>
    <s v="Core"/>
    <d v="2024-05-28T00:00:00"/>
    <x v="0"/>
    <n v="5"/>
    <x v="0"/>
    <s v="No"/>
    <s v="-"/>
    <s v="No"/>
    <n v="0"/>
    <n v="1"/>
    <n v="4"/>
  </r>
  <r>
    <n v="3324"/>
    <s v="Geraldo Ribeiro"/>
    <s v="Ultimate"/>
    <d v="2024-05-29T00:00:00"/>
    <x v="1"/>
    <n v="15"/>
    <x v="2"/>
    <s v="Yes"/>
    <n v="30"/>
    <s v="Yes"/>
    <n v="20"/>
    <n v="20"/>
    <n v="45"/>
  </r>
  <r>
    <n v="3325"/>
    <s v="Héctor Vargas"/>
    <s v="Standard"/>
    <d v="2024-05-30T00:00:00"/>
    <x v="0"/>
    <n v="10"/>
    <x v="2"/>
    <s v="No"/>
    <s v="-"/>
    <s v="Yes"/>
    <n v="20"/>
    <n v="15"/>
    <n v="15"/>
  </r>
  <r>
    <n v="3326"/>
    <s v="Isabela Fonseca"/>
    <s v="Core"/>
    <d v="2024-05-31T00:00:00"/>
    <x v="1"/>
    <n v="5"/>
    <x v="1"/>
    <s v="No"/>
    <s v="-"/>
    <s v="No"/>
    <n v="0"/>
    <n v="0"/>
    <n v="5"/>
  </r>
  <r>
    <n v="3327"/>
    <s v="João Pedro Almeida"/>
    <s v="Ultimate"/>
    <d v="2024-06-01T00:00:00"/>
    <x v="0"/>
    <n v="15"/>
    <x v="0"/>
    <s v="Yes"/>
    <n v="30"/>
    <s v="Yes"/>
    <n v="20"/>
    <n v="7"/>
    <n v="58"/>
  </r>
  <r>
    <n v="3328"/>
    <s v="Klara Costa"/>
    <s v="Standard"/>
    <d v="2024-06-02T00:00:00"/>
    <x v="1"/>
    <n v="10"/>
    <x v="1"/>
    <s v="No"/>
    <s v="-"/>
    <s v="Yes"/>
    <n v="20"/>
    <n v="10"/>
    <n v="20"/>
  </r>
  <r>
    <n v="3329"/>
    <s v="Luciana Mendes"/>
    <s v="Core"/>
    <d v="2024-06-03T00:00:00"/>
    <x v="0"/>
    <n v="5"/>
    <x v="2"/>
    <s v="No"/>
    <s v="-"/>
    <s v="No"/>
    <n v="0"/>
    <n v="1"/>
    <n v="4"/>
  </r>
  <r>
    <n v="3330"/>
    <s v="Marcelo Gouveia"/>
    <s v="Ultimate"/>
    <d v="2024-06-04T00:00:00"/>
    <x v="1"/>
    <n v="15"/>
    <x v="0"/>
    <s v="Yes"/>
    <n v="30"/>
    <s v="Yes"/>
    <n v="20"/>
    <n v="15"/>
    <n v="50"/>
  </r>
  <r>
    <n v="3331"/>
    <s v="Nívea Borges"/>
    <s v="Standard"/>
    <d v="2024-06-05T00:00:00"/>
    <x v="0"/>
    <n v="10"/>
    <x v="0"/>
    <s v="No"/>
    <s v="-"/>
    <s v="Yes"/>
    <n v="20"/>
    <n v="5"/>
    <n v="25"/>
  </r>
  <r>
    <n v="3332"/>
    <s v="Oscar Nogueira"/>
    <s v="Core"/>
    <d v="2024-06-06T00:00:00"/>
    <x v="1"/>
    <n v="5"/>
    <x v="1"/>
    <s v="No"/>
    <s v="-"/>
    <s v="No"/>
    <n v="0"/>
    <n v="0"/>
    <n v="5"/>
  </r>
  <r>
    <n v="3333"/>
    <s v="Patrícia Alves"/>
    <s v="Ultimate"/>
    <d v="2024-06-07T00:00:00"/>
    <x v="0"/>
    <n v="15"/>
    <x v="2"/>
    <s v="Yes"/>
    <n v="30"/>
    <s v="Yes"/>
    <n v="20"/>
    <n v="20"/>
    <n v="45"/>
  </r>
  <r>
    <n v="3334"/>
    <s v="Rafaela Silva"/>
    <s v="Standard"/>
    <d v="2024-06-08T00:00:00"/>
    <x v="1"/>
    <n v="10"/>
    <x v="2"/>
    <s v="No"/>
    <s v="-"/>
    <s v="Yes"/>
    <n v="20"/>
    <n v="12"/>
    <n v="18"/>
  </r>
  <r>
    <n v="3335"/>
    <s v="Samantha Moraes"/>
    <s v="Core"/>
    <d v="2024-06-09T00:00:00"/>
    <x v="0"/>
    <n v="5"/>
    <x v="0"/>
    <s v="No"/>
    <s v="-"/>
    <s v="No"/>
    <n v="0"/>
    <n v="2"/>
    <n v="3"/>
  </r>
  <r>
    <n v="3336"/>
    <s v="Tatiana Rocha"/>
    <s v="Core"/>
    <d v="2024-06-10T00:00:00"/>
    <x v="0"/>
    <n v="5"/>
    <x v="0"/>
    <s v="No"/>
    <s v="-"/>
    <s v="No"/>
    <n v="0"/>
    <n v="0"/>
    <n v="5"/>
  </r>
  <r>
    <n v="3337"/>
    <s v="Ulisses Tavares"/>
    <s v="Ultimate"/>
    <d v="2024-06-11T00:00:00"/>
    <x v="1"/>
    <n v="15"/>
    <x v="2"/>
    <s v="Yes"/>
    <n v="30"/>
    <s v="Yes"/>
    <n v="20"/>
    <n v="7"/>
    <n v="58"/>
  </r>
  <r>
    <n v="3338"/>
    <s v="Víctor Lemos"/>
    <s v="Standard"/>
    <d v="2024-06-12T00:00:00"/>
    <x v="0"/>
    <n v="10"/>
    <x v="1"/>
    <s v="No"/>
    <s v="-"/>
    <s v="Yes"/>
    <n v="20"/>
    <n v="10"/>
    <n v="20"/>
  </r>
  <r>
    <n v="3339"/>
    <s v="Wilma Barros"/>
    <s v="Core"/>
    <d v="2024-06-13T00:00:00"/>
    <x v="1"/>
    <n v="5"/>
    <x v="2"/>
    <s v="No"/>
    <s v="-"/>
    <s v="No"/>
    <n v="0"/>
    <n v="1"/>
    <n v="4"/>
  </r>
  <r>
    <n v="3340"/>
    <s v="Xavier Nascimento"/>
    <s v="Ultimate"/>
    <d v="2024-06-14T00:00:00"/>
    <x v="0"/>
    <n v="15"/>
    <x v="0"/>
    <s v="Yes"/>
    <n v="30"/>
    <s v="Yes"/>
    <n v="20"/>
    <n v="15"/>
    <n v="50"/>
  </r>
  <r>
    <n v="3341"/>
    <s v="Yago Pereira"/>
    <s v="Standard"/>
    <d v="2024-06-15T00:00:00"/>
    <x v="1"/>
    <n v="10"/>
    <x v="0"/>
    <s v="No"/>
    <s v="-"/>
    <s v="Yes"/>
    <n v="20"/>
    <n v="5"/>
    <n v="25"/>
  </r>
  <r>
    <n v="3342"/>
    <s v="Zilda Ferreira"/>
    <s v="Core"/>
    <d v="2024-06-16T00:00:00"/>
    <x v="0"/>
    <n v="5"/>
    <x v="1"/>
    <s v="No"/>
    <s v="-"/>
    <s v="No"/>
    <n v="0"/>
    <n v="0"/>
    <n v="5"/>
  </r>
  <r>
    <n v="3343"/>
    <s v="Amanda Lopes"/>
    <s v="Ultimate"/>
    <d v="2024-06-17T00:00:00"/>
    <x v="1"/>
    <n v="15"/>
    <x v="2"/>
    <s v="Yes"/>
    <n v="30"/>
    <s v="Yes"/>
    <n v="20"/>
    <n v="20"/>
    <n v="45"/>
  </r>
  <r>
    <n v="3344"/>
    <s v="Bruno Miranda"/>
    <s v="Standard"/>
    <d v="2024-06-18T00:00:00"/>
    <x v="0"/>
    <n v="10"/>
    <x v="2"/>
    <s v="No"/>
    <s v="-"/>
    <s v="Yes"/>
    <n v="20"/>
    <n v="12"/>
    <n v="18"/>
  </r>
  <r>
    <n v="3345"/>
    <s v="Célia Torres"/>
    <s v="Core"/>
    <d v="2024-06-19T00:00:00"/>
    <x v="1"/>
    <n v="5"/>
    <x v="0"/>
    <s v="No"/>
    <s v="-"/>
    <s v="No"/>
    <n v="0"/>
    <n v="2"/>
    <n v="3"/>
  </r>
  <r>
    <n v="3346"/>
    <s v="Diogo Souza"/>
    <s v="Ultimate"/>
    <d v="2024-06-20T00:00:00"/>
    <x v="0"/>
    <n v="15"/>
    <x v="1"/>
    <s v="Yes"/>
    <n v="30"/>
    <s v="Yes"/>
    <n v="20"/>
    <n v="5"/>
    <n v="60"/>
  </r>
  <r>
    <n v="3347"/>
    <s v="Elisa Castro"/>
    <s v="Standard"/>
    <d v="2024-06-21T00:00:00"/>
    <x v="1"/>
    <n v="10"/>
    <x v="0"/>
    <s v="No"/>
    <s v="-"/>
    <s v="Yes"/>
    <n v="20"/>
    <n v="10"/>
    <n v="20"/>
  </r>
  <r>
    <n v="3348"/>
    <s v="Fátima Lima"/>
    <s v="Core"/>
    <d v="2024-06-22T00:00:00"/>
    <x v="0"/>
    <n v="5"/>
    <x v="2"/>
    <s v="No"/>
    <s v="-"/>
    <s v="No"/>
    <n v="0"/>
    <n v="0"/>
    <n v="5"/>
  </r>
  <r>
    <n v="3349"/>
    <s v="Geraldo Ribeiro"/>
    <s v="Ultimate"/>
    <d v="2024-06-23T00:00:00"/>
    <x v="1"/>
    <n v="15"/>
    <x v="0"/>
    <s v="Yes"/>
    <n v="30"/>
    <s v="Yes"/>
    <n v="20"/>
    <n v="3"/>
    <n v="62"/>
  </r>
  <r>
    <n v="3350"/>
    <s v="Hélio Martins"/>
    <s v="Standard"/>
    <d v="2024-06-24T00:00:00"/>
    <x v="0"/>
    <n v="10"/>
    <x v="1"/>
    <s v="No"/>
    <s v="-"/>
    <s v="Yes"/>
    <n v="20"/>
    <n v="15"/>
    <n v="15"/>
  </r>
  <r>
    <n v="3351"/>
    <s v="Íris Santos"/>
    <s v="Core"/>
    <d v="2024-06-25T00:00:00"/>
    <x v="1"/>
    <n v="5"/>
    <x v="0"/>
    <s v="No"/>
    <s v="-"/>
    <s v="No"/>
    <n v="0"/>
    <n v="1"/>
    <n v="4"/>
  </r>
  <r>
    <n v="3352"/>
    <s v="João Marcelo"/>
    <s v="Ultimate"/>
    <d v="2024-06-26T00:00:00"/>
    <x v="0"/>
    <n v="15"/>
    <x v="2"/>
    <s v="Yes"/>
    <n v="30"/>
    <s v="Yes"/>
    <n v="20"/>
    <n v="7"/>
    <n v="58"/>
  </r>
  <r>
    <n v="3353"/>
    <s v="Larissa Gomes"/>
    <s v="Standard"/>
    <d v="2024-06-27T00:00:00"/>
    <x v="1"/>
    <n v="10"/>
    <x v="0"/>
    <s v="No"/>
    <s v="-"/>
    <s v="Yes"/>
    <n v="20"/>
    <n v="10"/>
    <n v="20"/>
  </r>
  <r>
    <n v="3354"/>
    <s v="Márcio Silva"/>
    <s v="Core"/>
    <d v="2024-06-28T00:00:00"/>
    <x v="0"/>
    <n v="5"/>
    <x v="1"/>
    <s v="No"/>
    <s v="-"/>
    <s v="No"/>
    <n v="0"/>
    <n v="0"/>
    <n v="5"/>
  </r>
  <r>
    <n v="3355"/>
    <s v="Nadia Costa"/>
    <s v="Ultimate"/>
    <d v="2024-06-29T00:00:00"/>
    <x v="1"/>
    <n v="15"/>
    <x v="0"/>
    <s v="Yes"/>
    <n v="30"/>
    <s v="Yes"/>
    <n v="20"/>
    <n v="20"/>
    <n v="45"/>
  </r>
  <r>
    <n v="3356"/>
    <s v="Oscar Almeida"/>
    <s v="Standard"/>
    <d v="2024-06-30T00:00:00"/>
    <x v="0"/>
    <n v="10"/>
    <x v="2"/>
    <s v="No"/>
    <s v="-"/>
    <s v="Yes"/>
    <n v="20"/>
    <n v="15"/>
    <n v="15"/>
  </r>
  <r>
    <n v="3357"/>
    <s v="Patricia Soares"/>
    <s v="Core"/>
    <d v="2024-07-01T00:00:00"/>
    <x v="1"/>
    <n v="5"/>
    <x v="0"/>
    <s v="No"/>
    <s v="-"/>
    <s v="No"/>
    <n v="0"/>
    <n v="1"/>
    <n v="4"/>
  </r>
  <r>
    <n v="3358"/>
    <s v="Quênia Barros"/>
    <s v="Ultimate"/>
    <d v="2024-07-02T00:00:00"/>
    <x v="0"/>
    <n v="15"/>
    <x v="1"/>
    <s v="Yes"/>
    <n v="30"/>
    <s v="Yes"/>
    <n v="20"/>
    <n v="3"/>
    <n v="62"/>
  </r>
  <r>
    <n v="3359"/>
    <s v="Rafael Torres"/>
    <s v="Standard"/>
    <d v="2024-07-03T00:00:00"/>
    <x v="1"/>
    <n v="10"/>
    <x v="0"/>
    <s v="No"/>
    <s v="-"/>
    <s v="Yes"/>
    <n v="20"/>
    <n v="10"/>
    <n v="20"/>
  </r>
  <r>
    <n v="3360"/>
    <s v="Silvia Nascimento"/>
    <s v="Core"/>
    <d v="2024-07-04T00:00:00"/>
    <x v="0"/>
    <n v="5"/>
    <x v="2"/>
    <s v="No"/>
    <s v="-"/>
    <s v="No"/>
    <n v="0"/>
    <n v="0"/>
    <n v="5"/>
  </r>
  <r>
    <n v="3361"/>
    <s v="Tiago Mendes"/>
    <s v="Ultimate"/>
    <d v="2024-07-05T00:00:00"/>
    <x v="1"/>
    <n v="15"/>
    <x v="0"/>
    <s v="Yes"/>
    <n v="30"/>
    <s v="Yes"/>
    <n v="20"/>
    <n v="15"/>
    <n v="50"/>
  </r>
  <r>
    <n v="3362"/>
    <s v="Ursula Silva"/>
    <s v="Standard"/>
    <d v="2024-07-06T00:00:00"/>
    <x v="0"/>
    <n v="10"/>
    <x v="1"/>
    <s v="No"/>
    <s v="-"/>
    <s v="Yes"/>
    <n v="20"/>
    <n v="15"/>
    <n v="15"/>
  </r>
  <r>
    <n v="3363"/>
    <s v="Vanessa Moraes"/>
    <s v="Core"/>
    <d v="2024-07-07T00:00:00"/>
    <x v="1"/>
    <n v="5"/>
    <x v="0"/>
    <s v="No"/>
    <s v="-"/>
    <s v="No"/>
    <n v="0"/>
    <n v="1"/>
    <n v="4"/>
  </r>
  <r>
    <n v="3364"/>
    <s v="Waldir Junior"/>
    <s v="Ultimate"/>
    <d v="2024-07-08T00:00:00"/>
    <x v="0"/>
    <n v="15"/>
    <x v="2"/>
    <s v="Yes"/>
    <n v="30"/>
    <s v="Yes"/>
    <n v="20"/>
    <n v="7"/>
    <n v="58"/>
  </r>
  <r>
    <n v="3365"/>
    <s v="Xavier Lopes"/>
    <s v="Standard"/>
    <d v="2024-07-09T00:00:00"/>
    <x v="1"/>
    <n v="10"/>
    <x v="0"/>
    <s v="No"/>
    <s v="-"/>
    <s v="Yes"/>
    <n v="20"/>
    <n v="10"/>
    <n v="20"/>
  </r>
  <r>
    <n v="3366"/>
    <s v="Yolanda Freitas"/>
    <s v="Core"/>
    <d v="2024-07-10T00:00:00"/>
    <x v="0"/>
    <n v="5"/>
    <x v="0"/>
    <s v="No"/>
    <s v="-"/>
    <s v="No"/>
    <n v="0"/>
    <n v="0"/>
    <n v="5"/>
  </r>
  <r>
    <n v="3367"/>
    <s v="Zacarias Nunes"/>
    <s v="Ultimate"/>
    <d v="2024-07-11T00:00:00"/>
    <x v="1"/>
    <n v="15"/>
    <x v="2"/>
    <s v="Yes"/>
    <n v="30"/>
    <s v="Yes"/>
    <n v="20"/>
    <n v="7"/>
    <n v="58"/>
  </r>
  <r>
    <n v="3368"/>
    <s v="Ana Clara Barreto"/>
    <s v="Standard"/>
    <d v="2024-07-12T00:00:00"/>
    <x v="0"/>
    <n v="10"/>
    <x v="1"/>
    <s v="No"/>
    <s v="-"/>
    <s v="Yes"/>
    <n v="20"/>
    <n v="10"/>
    <n v="20"/>
  </r>
  <r>
    <n v="3369"/>
    <s v="Bruno Henrique"/>
    <s v="Core"/>
    <d v="2024-07-13T00:00:00"/>
    <x v="1"/>
    <n v="5"/>
    <x v="2"/>
    <s v="No"/>
    <s v="-"/>
    <s v="No"/>
    <n v="0"/>
    <n v="1"/>
    <n v="4"/>
  </r>
  <r>
    <n v="3370"/>
    <s v="Carlos Eduardo"/>
    <s v="Ultimate"/>
    <d v="2024-07-14T00:00:00"/>
    <x v="0"/>
    <n v="15"/>
    <x v="0"/>
    <s v="Yes"/>
    <n v="30"/>
    <s v="Yes"/>
    <n v="20"/>
    <n v="15"/>
    <n v="50"/>
  </r>
  <r>
    <n v="3371"/>
    <s v="Débora Lima"/>
    <s v="Standard"/>
    <d v="2024-07-15T00:00:00"/>
    <x v="1"/>
    <n v="10"/>
    <x v="0"/>
    <s v="No"/>
    <s v="-"/>
    <s v="Yes"/>
    <n v="20"/>
    <n v="5"/>
    <n v="25"/>
  </r>
  <r>
    <n v="3372"/>
    <s v="Elisa Neves"/>
    <s v="Core"/>
    <d v="2024-07-16T00:00:00"/>
    <x v="0"/>
    <n v="5"/>
    <x v="1"/>
    <s v="No"/>
    <s v="-"/>
    <s v="No"/>
    <n v="0"/>
    <n v="0"/>
    <n v="5"/>
  </r>
  <r>
    <n v="3373"/>
    <s v="Fabiano Gomes"/>
    <s v="Ultimate"/>
    <d v="2024-07-17T00:00:00"/>
    <x v="1"/>
    <n v="15"/>
    <x v="2"/>
    <s v="Yes"/>
    <n v="30"/>
    <s v="Yes"/>
    <n v="20"/>
    <n v="20"/>
    <n v="45"/>
  </r>
  <r>
    <n v="3374"/>
    <s v="Gisele Oliveira"/>
    <s v="Standard"/>
    <d v="2024-07-18T00:00:00"/>
    <x v="0"/>
    <n v="10"/>
    <x v="2"/>
    <s v="No"/>
    <s v="-"/>
    <s v="Yes"/>
    <n v="20"/>
    <n v="12"/>
    <n v="18"/>
  </r>
  <r>
    <n v="3375"/>
    <s v="Héctor Silva"/>
    <s v="Core"/>
    <d v="2024-07-19T00:00:00"/>
    <x v="1"/>
    <n v="5"/>
    <x v="0"/>
    <s v="No"/>
    <s v="-"/>
    <s v="No"/>
    <n v="0"/>
    <n v="2"/>
    <n v="3"/>
  </r>
  <r>
    <n v="3376"/>
    <s v="Igor Martins"/>
    <s v="Ultimate"/>
    <d v="2024-07-20T00:00:00"/>
    <x v="0"/>
    <n v="15"/>
    <x v="1"/>
    <s v="Yes"/>
    <n v="30"/>
    <s v="Yes"/>
    <n v="20"/>
    <n v="5"/>
    <n v="60"/>
  </r>
  <r>
    <n v="3377"/>
    <s v="Joana Figueiredo"/>
    <s v="Standard"/>
    <d v="2024-07-21T00:00:00"/>
    <x v="1"/>
    <n v="10"/>
    <x v="0"/>
    <s v="No"/>
    <s v="-"/>
    <s v="Yes"/>
    <n v="20"/>
    <n v="10"/>
    <n v="20"/>
  </r>
  <r>
    <n v="3378"/>
    <s v="Kleber Machado"/>
    <s v="Core"/>
    <d v="2024-07-22T00:00:00"/>
    <x v="0"/>
    <n v="5"/>
    <x v="2"/>
    <s v="No"/>
    <s v="-"/>
    <s v="No"/>
    <n v="0"/>
    <n v="0"/>
    <n v="5"/>
  </r>
  <r>
    <n v="3379"/>
    <s v="Luciana Santos"/>
    <s v="Ultimate"/>
    <d v="2024-07-23T00:00:00"/>
    <x v="1"/>
    <n v="15"/>
    <x v="0"/>
    <s v="Yes"/>
    <n v="30"/>
    <s v="Yes"/>
    <n v="20"/>
    <n v="3"/>
    <n v="62"/>
  </r>
  <r>
    <n v="3380"/>
    <s v="Marcos Teixeira"/>
    <s v="Standard"/>
    <d v="2024-07-24T00:00:00"/>
    <x v="0"/>
    <n v="10"/>
    <x v="1"/>
    <s v="No"/>
    <s v="-"/>
    <s v="Yes"/>
    <n v="20"/>
    <n v="15"/>
    <n v="15"/>
  </r>
  <r>
    <n v="3381"/>
    <s v="Natalia Costa"/>
    <s v="Core"/>
    <d v="2024-07-25T00:00:00"/>
    <x v="1"/>
    <n v="5"/>
    <x v="0"/>
    <s v="No"/>
    <s v="-"/>
    <s v="No"/>
    <n v="0"/>
    <n v="1"/>
    <n v="4"/>
  </r>
  <r>
    <n v="3382"/>
    <s v="Oscar Ribeiro"/>
    <s v="Ultimate"/>
    <d v="2024-07-26T00:00:00"/>
    <x v="0"/>
    <n v="15"/>
    <x v="2"/>
    <s v="Yes"/>
    <n v="30"/>
    <s v="Yes"/>
    <n v="20"/>
    <n v="7"/>
    <n v="58"/>
  </r>
  <r>
    <n v="3383"/>
    <s v="Patricia Almeida"/>
    <s v="Standard"/>
    <d v="2024-07-27T00:00:00"/>
    <x v="1"/>
    <n v="10"/>
    <x v="0"/>
    <s v="No"/>
    <s v="-"/>
    <s v="Yes"/>
    <n v="20"/>
    <n v="10"/>
    <n v="20"/>
  </r>
  <r>
    <n v="3384"/>
    <s v="Quirino Junior"/>
    <s v="Core"/>
    <d v="2024-07-28T00:00:00"/>
    <x v="0"/>
    <n v="5"/>
    <x v="1"/>
    <s v="No"/>
    <s v="-"/>
    <s v="No"/>
    <n v="0"/>
    <n v="0"/>
    <n v="5"/>
  </r>
  <r>
    <n v="3385"/>
    <s v="Renata Machado"/>
    <s v="Ultimate"/>
    <d v="2024-07-29T00:00:00"/>
    <x v="1"/>
    <n v="15"/>
    <x v="0"/>
    <s v="Yes"/>
    <n v="30"/>
    <s v="Yes"/>
    <n v="20"/>
    <n v="20"/>
    <n v="45"/>
  </r>
  <r>
    <n v="3386"/>
    <s v="Sônia Alves"/>
    <s v="Standard"/>
    <d v="2024-07-30T00:00:00"/>
    <x v="0"/>
    <n v="10"/>
    <x v="2"/>
    <s v="No"/>
    <s v="-"/>
    <s v="Yes"/>
    <n v="20"/>
    <n v="15"/>
    <n v="15"/>
  </r>
  <r>
    <n v="3387"/>
    <s v="Tiago Nunes"/>
    <s v="Core"/>
    <d v="2024-07-31T00:00:00"/>
    <x v="1"/>
    <n v="5"/>
    <x v="0"/>
    <s v="No"/>
    <s v="-"/>
    <s v="No"/>
    <n v="0"/>
    <n v="1"/>
    <n v="4"/>
  </r>
  <r>
    <n v="3388"/>
    <s v="Ulysses Pereira"/>
    <s v="Ultimate"/>
    <d v="2024-08-01T00:00:00"/>
    <x v="0"/>
    <n v="15"/>
    <x v="1"/>
    <s v="Yes"/>
    <n v="30"/>
    <s v="Yes"/>
    <n v="20"/>
    <n v="3"/>
    <n v="62"/>
  </r>
  <r>
    <n v="3389"/>
    <s v="Vanessa Lima"/>
    <s v="Standard"/>
    <d v="2024-08-02T00:00:00"/>
    <x v="1"/>
    <n v="10"/>
    <x v="0"/>
    <s v="No"/>
    <s v="-"/>
    <s v="Yes"/>
    <n v="20"/>
    <n v="10"/>
    <n v="20"/>
  </r>
  <r>
    <n v="3390"/>
    <s v="Wagner Santos"/>
    <s v="Core"/>
    <d v="2024-08-03T00:00:00"/>
    <x v="0"/>
    <n v="5"/>
    <x v="2"/>
    <s v="No"/>
    <s v="-"/>
    <s v="No"/>
    <n v="0"/>
    <n v="0"/>
    <n v="5"/>
  </r>
  <r>
    <n v="3391"/>
    <s v="Xuxa Meneghel"/>
    <s v="Ultimate"/>
    <d v="2024-08-04T00:00:00"/>
    <x v="1"/>
    <n v="15"/>
    <x v="0"/>
    <s v="Yes"/>
    <n v="30"/>
    <s v="Yes"/>
    <n v="20"/>
    <n v="15"/>
    <n v="50"/>
  </r>
  <r>
    <n v="3392"/>
    <s v="Yasmin Silva"/>
    <s v="Standard"/>
    <d v="2024-08-05T00:00:00"/>
    <x v="0"/>
    <n v="10"/>
    <x v="1"/>
    <s v="No"/>
    <s v="-"/>
    <s v="Yes"/>
    <n v="20"/>
    <n v="15"/>
    <n v="15"/>
  </r>
  <r>
    <n v="3393"/>
    <s v="Zacarias de Souza"/>
    <s v="Core"/>
    <d v="2024-08-06T00:00:00"/>
    <x v="1"/>
    <n v="5"/>
    <x v="0"/>
    <s v="No"/>
    <s v="-"/>
    <s v="No"/>
    <n v="0"/>
    <n v="1"/>
    <n v="4"/>
  </r>
  <r>
    <n v="3394"/>
    <s v="André Lima"/>
    <s v="Ultimate"/>
    <d v="2024-08-07T00:00:00"/>
    <x v="0"/>
    <n v="15"/>
    <x v="2"/>
    <s v="Yes"/>
    <n v="30"/>
    <s v="Yes"/>
    <n v="20"/>
    <n v="7"/>
    <n v="58"/>
  </r>
  <r>
    <n v="3395"/>
    <s v="Bianca Freitas"/>
    <s v="Standard"/>
    <d v="2024-08-08T00:00:00"/>
    <x v="1"/>
    <n v="10"/>
    <x v="0"/>
    <s v="No"/>
    <s v="-"/>
    <s v="Yes"/>
    <n v="20"/>
    <n v="10"/>
    <n v="20"/>
  </r>
  <r>
    <n v="3396"/>
    <s v="Caio Mendes"/>
    <s v="Core"/>
    <d v="2024-08-09T00:00:00"/>
    <x v="0"/>
    <n v="5"/>
    <x v="1"/>
    <s v="No"/>
    <s v="-"/>
    <s v="No"/>
    <n v="0"/>
    <n v="0"/>
    <n v="5"/>
  </r>
  <r>
    <n v="3397"/>
    <s v="Daniela Moura"/>
    <s v="Ultimate"/>
    <d v="2024-08-10T00:00:00"/>
    <x v="1"/>
    <n v="15"/>
    <x v="0"/>
    <s v="Yes"/>
    <n v="30"/>
    <s v="Yes"/>
    <n v="20"/>
    <n v="20"/>
    <n v="45"/>
  </r>
  <r>
    <n v="3398"/>
    <s v="Eduardo Costa"/>
    <s v="Standard"/>
    <d v="2024-08-11T00:00:00"/>
    <x v="0"/>
    <n v="10"/>
    <x v="2"/>
    <s v="No"/>
    <s v="-"/>
    <s v="Yes"/>
    <n v="20"/>
    <n v="15"/>
    <n v="15"/>
  </r>
  <r>
    <n v="3399"/>
    <s v="Fernanda Gomes"/>
    <s v="Core"/>
    <d v="2024-08-12T00:00:00"/>
    <x v="1"/>
    <n v="5"/>
    <x v="0"/>
    <s v="No"/>
    <s v="-"/>
    <s v="No"/>
    <n v="0"/>
    <n v="1"/>
    <n v="4"/>
  </r>
  <r>
    <n v="3400"/>
    <s v="Guilherme Souza"/>
    <s v="Ultimate"/>
    <d v="2024-08-13T00:00:00"/>
    <x v="0"/>
    <n v="15"/>
    <x v="1"/>
    <s v="Yes"/>
    <n v="30"/>
    <s v="Yes"/>
    <n v="20"/>
    <n v="5"/>
    <n v="60"/>
  </r>
  <r>
    <n v="3401"/>
    <s v="Helena Ribeiro"/>
    <s v="Standard"/>
    <d v="2024-08-14T00:00:00"/>
    <x v="1"/>
    <n v="10"/>
    <x v="0"/>
    <s v="No"/>
    <s v="-"/>
    <s v="Yes"/>
    <n v="20"/>
    <n v="10"/>
    <n v="20"/>
  </r>
  <r>
    <n v="3402"/>
    <s v="Igor Santos"/>
    <s v="Core"/>
    <d v="2024-08-15T00:00:00"/>
    <x v="0"/>
    <n v="5"/>
    <x v="2"/>
    <s v="No"/>
    <s v="-"/>
    <s v="No"/>
    <n v="0"/>
    <n v="0"/>
    <n v="5"/>
  </r>
  <r>
    <n v="3403"/>
    <s v="João Carvalho"/>
    <s v="Ultimate"/>
    <d v="2024-08-16T00:00:00"/>
    <x v="1"/>
    <n v="15"/>
    <x v="0"/>
    <s v="Yes"/>
    <n v="30"/>
    <s v="Yes"/>
    <n v="20"/>
    <n v="3"/>
    <n v="62"/>
  </r>
  <r>
    <n v="3404"/>
    <s v="Klara Fagundes"/>
    <s v="Standard"/>
    <d v="2024-08-17T00:00:00"/>
    <x v="0"/>
    <n v="10"/>
    <x v="1"/>
    <s v="No"/>
    <s v="-"/>
    <s v="Yes"/>
    <n v="20"/>
    <n v="15"/>
    <n v="15"/>
  </r>
  <r>
    <n v="3405"/>
    <s v="Lúcia Mendonça"/>
    <s v="Core"/>
    <d v="2024-08-18T00:00:00"/>
    <x v="1"/>
    <n v="5"/>
    <x v="0"/>
    <s v="No"/>
    <s v="-"/>
    <s v="No"/>
    <n v="0"/>
    <n v="1"/>
    <n v="4"/>
  </r>
  <r>
    <n v="3406"/>
    <s v="Marcelo Novaes"/>
    <s v="Core"/>
    <d v="2024-08-19T00:00:00"/>
    <x v="0"/>
    <n v="5"/>
    <x v="0"/>
    <s v="No"/>
    <s v="-"/>
    <s v="No"/>
    <n v="0"/>
    <n v="0"/>
    <n v="5"/>
  </r>
  <r>
    <n v="3407"/>
    <s v="Nina Pacheco"/>
    <s v="Ultimate"/>
    <d v="2024-08-20T00:00:00"/>
    <x v="1"/>
    <n v="15"/>
    <x v="2"/>
    <s v="Yes"/>
    <n v="30"/>
    <s v="Yes"/>
    <n v="20"/>
    <n v="7"/>
    <n v="58"/>
  </r>
  <r>
    <n v="3408"/>
    <s v="Olívia Rios"/>
    <s v="Standard"/>
    <d v="2024-08-21T00:00:00"/>
    <x v="0"/>
    <n v="10"/>
    <x v="1"/>
    <s v="No"/>
    <s v="-"/>
    <s v="Yes"/>
    <n v="20"/>
    <n v="10"/>
    <n v="20"/>
  </r>
  <r>
    <n v="3409"/>
    <s v="Paulo Quintana"/>
    <s v="Core"/>
    <d v="2024-08-22T00:00:00"/>
    <x v="1"/>
    <n v="5"/>
    <x v="2"/>
    <s v="No"/>
    <s v="-"/>
    <s v="No"/>
    <n v="0"/>
    <n v="1"/>
    <n v="4"/>
  </r>
  <r>
    <n v="3410"/>
    <s v="Raquel Domingos"/>
    <s v="Ultimate"/>
    <d v="2024-08-23T00:00:00"/>
    <x v="0"/>
    <n v="15"/>
    <x v="0"/>
    <s v="Yes"/>
    <n v="30"/>
    <s v="Yes"/>
    <n v="20"/>
    <n v="15"/>
    <n v="50"/>
  </r>
  <r>
    <n v="3411"/>
    <s v="Samuel Viana"/>
    <s v="Standard"/>
    <d v="2024-08-24T00:00:00"/>
    <x v="1"/>
    <n v="10"/>
    <x v="0"/>
    <s v="No"/>
    <s v="-"/>
    <s v="Yes"/>
    <n v="20"/>
    <n v="5"/>
    <n v="25"/>
  </r>
  <r>
    <n v="3412"/>
    <s v="Tatiane Rocha"/>
    <s v="Core"/>
    <d v="2024-08-25T00:00:00"/>
    <x v="0"/>
    <n v="5"/>
    <x v="1"/>
    <s v="No"/>
    <s v="-"/>
    <s v="No"/>
    <n v="0"/>
    <n v="0"/>
    <n v="5"/>
  </r>
  <r>
    <n v="3413"/>
    <s v="Ulysses Farias"/>
    <s v="Ultimate"/>
    <d v="2024-08-26T00:00:00"/>
    <x v="1"/>
    <n v="15"/>
    <x v="2"/>
    <s v="Yes"/>
    <n v="30"/>
    <s v="Yes"/>
    <n v="20"/>
    <n v="20"/>
    <n v="45"/>
  </r>
  <r>
    <n v="3414"/>
    <s v="Vanessa Moreira"/>
    <s v="Standard"/>
    <d v="2024-08-27T00:00:00"/>
    <x v="0"/>
    <n v="10"/>
    <x v="2"/>
    <s v="No"/>
    <s v="-"/>
    <s v="Yes"/>
    <n v="20"/>
    <n v="12"/>
    <n v="18"/>
  </r>
  <r>
    <n v="3415"/>
    <s v="William Carvalho"/>
    <s v="Core"/>
    <d v="2024-08-28T00:00:00"/>
    <x v="1"/>
    <n v="5"/>
    <x v="0"/>
    <s v="No"/>
    <s v="-"/>
    <s v="No"/>
    <n v="0"/>
    <n v="2"/>
    <n v="3"/>
  </r>
  <r>
    <n v="3416"/>
    <s v="Ximena Barros"/>
    <s v="Ultimate"/>
    <d v="2024-08-29T00:00:00"/>
    <x v="0"/>
    <n v="15"/>
    <x v="1"/>
    <s v="Yes"/>
    <n v="30"/>
    <s v="Yes"/>
    <n v="20"/>
    <n v="5"/>
    <n v="60"/>
  </r>
  <r>
    <n v="3417"/>
    <s v="Yara Machado"/>
    <s v="Standard"/>
    <d v="2024-08-30T00:00:00"/>
    <x v="1"/>
    <n v="10"/>
    <x v="0"/>
    <s v="No"/>
    <s v="-"/>
    <s v="Yes"/>
    <n v="20"/>
    <n v="10"/>
    <n v="20"/>
  </r>
  <r>
    <n v="3418"/>
    <s v="Zacarias Costa"/>
    <s v="Core"/>
    <d v="2024-08-31T00:00:00"/>
    <x v="0"/>
    <n v="5"/>
    <x v="2"/>
    <s v="No"/>
    <s v="-"/>
    <s v="No"/>
    <n v="0"/>
    <n v="0"/>
    <n v="5"/>
  </r>
  <r>
    <n v="3419"/>
    <s v="André Lopes"/>
    <s v="Ultimate"/>
    <d v="2024-09-01T00:00:00"/>
    <x v="1"/>
    <n v="15"/>
    <x v="0"/>
    <s v="Yes"/>
    <n v="30"/>
    <s v="Yes"/>
    <n v="20"/>
    <n v="3"/>
    <n v="62"/>
  </r>
  <r>
    <n v="3420"/>
    <s v="Beatriz Souza"/>
    <s v="Standard"/>
    <d v="2024-09-02T00:00:00"/>
    <x v="0"/>
    <n v="10"/>
    <x v="1"/>
    <s v="No"/>
    <s v="-"/>
    <s v="Yes"/>
    <n v="20"/>
    <n v="15"/>
    <n v="15"/>
  </r>
  <r>
    <n v="3421"/>
    <s v="Caio Pereira"/>
    <s v="Core"/>
    <d v="2024-09-03T00:00:00"/>
    <x v="1"/>
    <n v="5"/>
    <x v="0"/>
    <s v="No"/>
    <s v="-"/>
    <s v="No"/>
    <n v="0"/>
    <n v="1"/>
    <n v="4"/>
  </r>
  <r>
    <n v="3422"/>
    <s v="Daniela Araújo"/>
    <s v="Ultimate"/>
    <d v="2024-09-04T00:00:00"/>
    <x v="0"/>
    <n v="15"/>
    <x v="2"/>
    <s v="Yes"/>
    <n v="30"/>
    <s v="Yes"/>
    <n v="20"/>
    <n v="7"/>
    <n v="58"/>
  </r>
  <r>
    <n v="3423"/>
    <s v="Eduardo Santos"/>
    <s v="Standard"/>
    <d v="2024-09-05T00:00:00"/>
    <x v="1"/>
    <n v="10"/>
    <x v="0"/>
    <s v="No"/>
    <s v="-"/>
    <s v="Yes"/>
    <n v="20"/>
    <n v="10"/>
    <n v="20"/>
  </r>
  <r>
    <n v="3424"/>
    <s v="Fernanda Lima"/>
    <s v="Core"/>
    <d v="2024-09-06T00:00:00"/>
    <x v="0"/>
    <n v="5"/>
    <x v="1"/>
    <s v="No"/>
    <s v="-"/>
    <s v="No"/>
    <n v="0"/>
    <n v="0"/>
    <n v="5"/>
  </r>
  <r>
    <n v="3425"/>
    <s v="Gabriel Teixeira"/>
    <s v="Ultimate"/>
    <d v="2024-09-07T00:00:00"/>
    <x v="1"/>
    <n v="15"/>
    <x v="0"/>
    <s v="Yes"/>
    <n v="30"/>
    <s v="Yes"/>
    <n v="20"/>
    <n v="20"/>
    <n v="45"/>
  </r>
  <r>
    <n v="3426"/>
    <s v="Helena Ribeiro"/>
    <s v="Standard"/>
    <d v="2024-09-08T00:00:00"/>
    <x v="0"/>
    <n v="10"/>
    <x v="2"/>
    <s v="No"/>
    <s v="-"/>
    <s v="Yes"/>
    <n v="20"/>
    <n v="15"/>
    <n v="15"/>
  </r>
  <r>
    <n v="3427"/>
    <s v="Igor Mendes"/>
    <s v="Core"/>
    <d v="2024-09-09T00:00:00"/>
    <x v="1"/>
    <n v="5"/>
    <x v="0"/>
    <s v="No"/>
    <s v="-"/>
    <s v="No"/>
    <n v="0"/>
    <n v="1"/>
    <n v="4"/>
  </r>
  <r>
    <n v="3428"/>
    <s v="Joana Silveira"/>
    <s v="Ultimate"/>
    <d v="2024-09-10T00:00:00"/>
    <x v="0"/>
    <n v="15"/>
    <x v="1"/>
    <s v="Yes"/>
    <n v="30"/>
    <s v="Yes"/>
    <n v="20"/>
    <n v="3"/>
    <n v="62"/>
  </r>
  <r>
    <n v="3429"/>
    <s v="Lucas Martins"/>
    <s v="Standard"/>
    <d v="2024-09-11T00:00:00"/>
    <x v="1"/>
    <n v="10"/>
    <x v="0"/>
    <s v="No"/>
    <s v="-"/>
    <s v="Yes"/>
    <n v="20"/>
    <n v="10"/>
    <n v="20"/>
  </r>
  <r>
    <n v="3430"/>
    <s v="Marcela Gouveia"/>
    <s v="Core"/>
    <d v="2024-09-12T00:00:00"/>
    <x v="0"/>
    <n v="5"/>
    <x v="2"/>
    <s v="No"/>
    <s v="-"/>
    <s v="No"/>
    <n v="0"/>
    <n v="0"/>
    <n v="5"/>
  </r>
  <r>
    <n v="3431"/>
    <s v="Nicolas Borges"/>
    <s v="Ultimate"/>
    <d v="2024-09-13T00:00:00"/>
    <x v="1"/>
    <n v="15"/>
    <x v="0"/>
    <s v="Yes"/>
    <n v="30"/>
    <s v="Yes"/>
    <n v="20"/>
    <n v="15"/>
    <n v="50"/>
  </r>
  <r>
    <n v="3432"/>
    <s v="Olivia Freitas"/>
    <s v="Standard"/>
    <d v="2024-09-14T00:00:00"/>
    <x v="0"/>
    <n v="10"/>
    <x v="1"/>
    <s v="No"/>
    <s v="-"/>
    <s v="Yes"/>
    <n v="20"/>
    <n v="15"/>
    <n v="15"/>
  </r>
  <r>
    <n v="3433"/>
    <s v="Paulo Nogueira"/>
    <s v="Core"/>
    <d v="2024-09-15T00:00:00"/>
    <x v="1"/>
    <n v="5"/>
    <x v="0"/>
    <s v="No"/>
    <s v="-"/>
    <s v="No"/>
    <n v="0"/>
    <n v="1"/>
    <n v="4"/>
  </r>
  <r>
    <n v="3434"/>
    <s v="Raquel Andrade"/>
    <s v="Ultimate"/>
    <d v="2024-09-16T00:00:00"/>
    <x v="0"/>
    <n v="15"/>
    <x v="2"/>
    <s v="Yes"/>
    <n v="30"/>
    <s v="Yes"/>
    <n v="20"/>
    <n v="7"/>
    <n v="58"/>
  </r>
  <r>
    <n v="3435"/>
    <s v="Sônia Carvalho"/>
    <s v="Standard"/>
    <d v="2024-09-17T00:00:00"/>
    <x v="1"/>
    <n v="10"/>
    <x v="0"/>
    <s v="No"/>
    <s v="-"/>
    <s v="Yes"/>
    <n v="20"/>
    <n v="10"/>
    <n v="20"/>
  </r>
  <r>
    <n v="3436"/>
    <s v="Tiago Rodrigues"/>
    <s v="Core"/>
    <d v="2024-09-18T00:00:00"/>
    <x v="0"/>
    <n v="5"/>
    <x v="0"/>
    <s v="No"/>
    <s v="-"/>
    <s v="No"/>
    <n v="0"/>
    <n v="0"/>
    <n v="5"/>
  </r>
  <r>
    <n v="3437"/>
    <s v="Ursula Monteiro"/>
    <s v="Ultimate"/>
    <d v="2024-09-19T00:00:00"/>
    <x v="1"/>
    <n v="15"/>
    <x v="2"/>
    <s v="Yes"/>
    <n v="30"/>
    <s v="Yes"/>
    <n v="20"/>
    <n v="7"/>
    <n v="58"/>
  </r>
  <r>
    <n v="3438"/>
    <s v="Vanessa Pereira"/>
    <s v="Standard"/>
    <d v="2024-09-20T00:00:00"/>
    <x v="0"/>
    <n v="10"/>
    <x v="1"/>
    <s v="No"/>
    <s v="-"/>
    <s v="Yes"/>
    <n v="20"/>
    <n v="10"/>
    <n v="20"/>
  </r>
  <r>
    <n v="3439"/>
    <s v="Walter Silva"/>
    <s v="Core"/>
    <d v="2024-09-21T00:00:00"/>
    <x v="1"/>
    <n v="5"/>
    <x v="2"/>
    <s v="No"/>
    <s v="-"/>
    <s v="No"/>
    <n v="0"/>
    <n v="1"/>
    <n v="4"/>
  </r>
  <r>
    <n v="3440"/>
    <s v="Xavier Almeida"/>
    <s v="Ultimate"/>
    <d v="2024-09-22T00:00:00"/>
    <x v="0"/>
    <n v="15"/>
    <x v="0"/>
    <s v="Yes"/>
    <n v="30"/>
    <s v="Yes"/>
    <n v="20"/>
    <n v="15"/>
    <n v="50"/>
  </r>
  <r>
    <n v="3441"/>
    <s v="Yasmine Correia"/>
    <s v="Standard"/>
    <d v="2024-09-23T00:00:00"/>
    <x v="1"/>
    <n v="10"/>
    <x v="0"/>
    <s v="No"/>
    <s v="-"/>
    <s v="Yes"/>
    <n v="20"/>
    <n v="5"/>
    <n v="25"/>
  </r>
  <r>
    <n v="3442"/>
    <s v="Zacarias Almeida"/>
    <s v="Core"/>
    <d v="2024-09-24T00:00:00"/>
    <x v="0"/>
    <n v="5"/>
    <x v="1"/>
    <s v="No"/>
    <s v="-"/>
    <s v="No"/>
    <n v="0"/>
    <n v="0"/>
    <n v="5"/>
  </r>
  <r>
    <n v="3443"/>
    <s v="Amanda Costa"/>
    <s v="Ultimate"/>
    <d v="2024-09-25T00:00:00"/>
    <x v="1"/>
    <n v="15"/>
    <x v="2"/>
    <s v="Yes"/>
    <n v="30"/>
    <s v="Yes"/>
    <n v="20"/>
    <n v="20"/>
    <n v="45"/>
  </r>
  <r>
    <n v="3444"/>
    <s v="Bruno Ferreira"/>
    <s v="Standard"/>
    <d v="2024-09-26T00:00:00"/>
    <x v="0"/>
    <n v="10"/>
    <x v="2"/>
    <s v="No"/>
    <s v="-"/>
    <s v="Yes"/>
    <n v="20"/>
    <n v="12"/>
    <n v="18"/>
  </r>
  <r>
    <n v="3445"/>
    <s v="Carla Dias"/>
    <s v="Core"/>
    <d v="2024-09-27T00:00:00"/>
    <x v="1"/>
    <n v="5"/>
    <x v="0"/>
    <s v="No"/>
    <s v="-"/>
    <s v="No"/>
    <n v="0"/>
    <n v="2"/>
    <n v="3"/>
  </r>
  <r>
    <n v="3446"/>
    <s v="Diogo Martins"/>
    <s v="Ultimate"/>
    <d v="2024-09-28T00:00:00"/>
    <x v="0"/>
    <n v="15"/>
    <x v="1"/>
    <s v="Yes"/>
    <n v="30"/>
    <s v="Yes"/>
    <n v="20"/>
    <n v="5"/>
    <n v="60"/>
  </r>
  <r>
    <n v="3447"/>
    <s v="Elisa Campos"/>
    <s v="Standard"/>
    <d v="2024-09-29T00:00:00"/>
    <x v="1"/>
    <n v="10"/>
    <x v="0"/>
    <s v="No"/>
    <s v="-"/>
    <s v="Yes"/>
    <n v="20"/>
    <n v="10"/>
    <n v="20"/>
  </r>
  <r>
    <n v="3448"/>
    <s v="Fabiana Lima"/>
    <s v="Core"/>
    <d v="2024-09-30T00:00:00"/>
    <x v="0"/>
    <n v="5"/>
    <x v="2"/>
    <s v="No"/>
    <s v="-"/>
    <s v="No"/>
    <n v="0"/>
    <n v="0"/>
    <n v="5"/>
  </r>
  <r>
    <n v="3449"/>
    <s v="Gabriel Santos"/>
    <s v="Ultimate"/>
    <d v="2024-10-01T00:00:00"/>
    <x v="1"/>
    <n v="15"/>
    <x v="0"/>
    <s v="Yes"/>
    <n v="30"/>
    <s v="Yes"/>
    <n v="20"/>
    <n v="3"/>
    <n v="62"/>
  </r>
  <r>
    <n v="3450"/>
    <s v="Helena Ferreira"/>
    <s v="Standard"/>
    <d v="2024-10-02T00:00:00"/>
    <x v="0"/>
    <n v="10"/>
    <x v="1"/>
    <s v="No"/>
    <s v="-"/>
    <s v="Yes"/>
    <n v="20"/>
    <n v="15"/>
    <n v="15"/>
  </r>
  <r>
    <n v="3451"/>
    <s v="Ígor Nunes"/>
    <s v="Core"/>
    <d v="2024-10-03T00:00:00"/>
    <x v="1"/>
    <n v="5"/>
    <x v="0"/>
    <s v="No"/>
    <s v="-"/>
    <s v="No"/>
    <n v="0"/>
    <n v="1"/>
    <n v="4"/>
  </r>
  <r>
    <n v="3452"/>
    <s v="Joana Silveira"/>
    <s v="Ultimate"/>
    <d v="2024-10-04T00:00:00"/>
    <x v="0"/>
    <n v="15"/>
    <x v="2"/>
    <s v="Yes"/>
    <n v="30"/>
    <s v="Yes"/>
    <n v="20"/>
    <n v="7"/>
    <n v="58"/>
  </r>
  <r>
    <n v="3453"/>
    <s v="Kléber Oliveira"/>
    <s v="Standard"/>
    <d v="2024-10-05T00:00:00"/>
    <x v="1"/>
    <n v="10"/>
    <x v="0"/>
    <s v="No"/>
    <s v="-"/>
    <s v="Yes"/>
    <n v="20"/>
    <n v="10"/>
    <n v="20"/>
  </r>
  <r>
    <n v="3454"/>
    <s v="Luciana Morais"/>
    <s v="Core"/>
    <d v="2024-10-06T00:00:00"/>
    <x v="0"/>
    <n v="5"/>
    <x v="1"/>
    <s v="No"/>
    <s v="-"/>
    <s v="No"/>
    <n v="0"/>
    <n v="0"/>
    <n v="5"/>
  </r>
  <r>
    <n v="3455"/>
    <s v="Marcos Vinícius"/>
    <s v="Ultimate"/>
    <d v="2024-10-07T00:00:00"/>
    <x v="1"/>
    <n v="15"/>
    <x v="0"/>
    <s v="Yes"/>
    <n v="30"/>
    <s v="Yes"/>
    <n v="20"/>
    <n v="20"/>
    <n v="45"/>
  </r>
  <r>
    <n v="3456"/>
    <s v="Natália Barros"/>
    <s v="Standard"/>
    <d v="2024-10-08T00:00:00"/>
    <x v="0"/>
    <n v="10"/>
    <x v="2"/>
    <s v="No"/>
    <s v="-"/>
    <s v="Yes"/>
    <n v="20"/>
    <n v="15"/>
    <n v="15"/>
  </r>
  <r>
    <n v="3457"/>
    <s v="Oscar Sampaio"/>
    <s v="Core"/>
    <d v="2024-10-09T00:00:00"/>
    <x v="1"/>
    <n v="5"/>
    <x v="0"/>
    <s v="No"/>
    <s v="-"/>
    <s v="No"/>
    <n v="0"/>
    <n v="1"/>
    <n v="4"/>
  </r>
  <r>
    <n v="3458"/>
    <s v="Patrícia Leite"/>
    <s v="Ultimate"/>
    <d v="2024-10-10T00:00:00"/>
    <x v="0"/>
    <n v="15"/>
    <x v="1"/>
    <s v="Yes"/>
    <n v="30"/>
    <s v="Yes"/>
    <n v="20"/>
    <n v="3"/>
    <n v="62"/>
  </r>
  <r>
    <n v="3459"/>
    <s v="Quênia Rocha"/>
    <s v="Standard"/>
    <d v="2024-10-11T00:00:00"/>
    <x v="1"/>
    <n v="10"/>
    <x v="0"/>
    <s v="No"/>
    <s v="-"/>
    <s v="Yes"/>
    <n v="20"/>
    <n v="10"/>
    <n v="20"/>
  </r>
  <r>
    <n v="3460"/>
    <s v="Rafael Torres"/>
    <s v="Core"/>
    <d v="2024-10-12T00:00:00"/>
    <x v="0"/>
    <n v="5"/>
    <x v="2"/>
    <s v="No"/>
    <s v="-"/>
    <s v="No"/>
    <n v="0"/>
    <n v="0"/>
    <n v="5"/>
  </r>
  <r>
    <n v="3461"/>
    <s v="Sandra Gouveia"/>
    <s v="Ultimate"/>
    <d v="2024-10-13T00:00:00"/>
    <x v="1"/>
    <n v="15"/>
    <x v="0"/>
    <s v="Yes"/>
    <n v="30"/>
    <s v="Yes"/>
    <n v="20"/>
    <n v="15"/>
    <n v="50"/>
  </r>
  <r>
    <n v="3462"/>
    <s v="Tiago Lacerda"/>
    <s v="Standard"/>
    <d v="2024-10-14T00:00:00"/>
    <x v="0"/>
    <n v="10"/>
    <x v="1"/>
    <s v="No"/>
    <s v="-"/>
    <s v="Yes"/>
    <n v="20"/>
    <n v="15"/>
    <n v="15"/>
  </r>
  <r>
    <n v="3463"/>
    <s v="Ursula Fonseca"/>
    <s v="Core"/>
    <d v="2024-10-15T00:00:00"/>
    <x v="1"/>
    <n v="5"/>
    <x v="0"/>
    <s v="No"/>
    <s v="-"/>
    <s v="No"/>
    <n v="0"/>
    <n v="1"/>
    <n v="4"/>
  </r>
  <r>
    <n v="3464"/>
    <s v="Vanessa Andrade"/>
    <s v="Ultimate"/>
    <d v="2024-10-16T00:00:00"/>
    <x v="0"/>
    <n v="15"/>
    <x v="2"/>
    <s v="Yes"/>
    <n v="30"/>
    <s v="Yes"/>
    <n v="20"/>
    <n v="7"/>
    <n v="58"/>
  </r>
  <r>
    <n v="3465"/>
    <s v="William Castro"/>
    <s v="Standard"/>
    <d v="2024-10-17T00:00:00"/>
    <x v="1"/>
    <n v="10"/>
    <x v="0"/>
    <s v="No"/>
    <s v="-"/>
    <s v="Yes"/>
    <n v="20"/>
    <n v="10"/>
    <n v="20"/>
  </r>
  <r>
    <n v="3466"/>
    <s v="Xavier Monteiro"/>
    <s v="Core"/>
    <d v="2024-10-18T00:00:00"/>
    <x v="0"/>
    <n v="5"/>
    <x v="1"/>
    <s v="No"/>
    <s v="-"/>
    <s v="No"/>
    <n v="0"/>
    <n v="0"/>
    <n v="5"/>
  </r>
  <r>
    <n v="3467"/>
    <s v="Yasmin Figueira"/>
    <s v="Ultimate"/>
    <d v="2024-10-19T00:00:00"/>
    <x v="1"/>
    <n v="15"/>
    <x v="0"/>
    <s v="Yes"/>
    <n v="30"/>
    <s v="Yes"/>
    <n v="20"/>
    <n v="15"/>
    <n v="50"/>
  </r>
  <r>
    <n v="3468"/>
    <s v="Zacarias Mendonça"/>
    <s v="Standard"/>
    <d v="2024-10-20T00:00:00"/>
    <x v="0"/>
    <n v="10"/>
    <x v="2"/>
    <s v="No"/>
    <s v="-"/>
    <s v="Yes"/>
    <n v="20"/>
    <n v="12"/>
    <n v="18"/>
  </r>
  <r>
    <n v="3469"/>
    <s v="Amanda Menezes"/>
    <s v="Core"/>
    <d v="2024-10-21T00:00:00"/>
    <x v="1"/>
    <n v="5"/>
    <x v="0"/>
    <s v="No"/>
    <s v="-"/>
    <s v="No"/>
    <n v="0"/>
    <n v="2"/>
    <n v="3"/>
  </r>
  <r>
    <n v="3470"/>
    <s v="Bruno Santos"/>
    <s v="Ultimate"/>
    <d v="2024-10-22T00:00:00"/>
    <x v="0"/>
    <n v="15"/>
    <x v="1"/>
    <s v="Yes"/>
    <n v="30"/>
    <s v="Yes"/>
    <n v="20"/>
    <n v="5"/>
    <n v="60"/>
  </r>
  <r>
    <n v="3471"/>
    <s v="Carla Ferreira"/>
    <s v="Standard"/>
    <d v="2024-10-23T00:00:00"/>
    <x v="1"/>
    <n v="10"/>
    <x v="0"/>
    <s v="No"/>
    <s v="-"/>
    <s v="Yes"/>
    <n v="20"/>
    <n v="10"/>
    <n v="20"/>
  </r>
  <r>
    <n v="3472"/>
    <s v="Diogo Alves"/>
    <s v="Core"/>
    <d v="2024-10-24T00:00:00"/>
    <x v="0"/>
    <n v="5"/>
    <x v="2"/>
    <s v="No"/>
    <s v="-"/>
    <s v="No"/>
    <n v="0"/>
    <n v="0"/>
    <n v="5"/>
  </r>
  <r>
    <n v="3473"/>
    <s v="Elisa Neves"/>
    <s v="Ultimate"/>
    <d v="2024-10-25T00:00:00"/>
    <x v="1"/>
    <n v="15"/>
    <x v="0"/>
    <s v="Yes"/>
    <n v="30"/>
    <s v="Yes"/>
    <n v="20"/>
    <n v="3"/>
    <n v="62"/>
  </r>
  <r>
    <n v="3474"/>
    <s v="Fabiano Pires"/>
    <s v="Standard"/>
    <d v="2024-10-26T00:00:00"/>
    <x v="0"/>
    <n v="10"/>
    <x v="1"/>
    <s v="No"/>
    <s v="-"/>
    <s v="Yes"/>
    <n v="20"/>
    <n v="15"/>
    <n v="15"/>
  </r>
  <r>
    <n v="3475"/>
    <s v="Giovana Ribeiro"/>
    <s v="Core"/>
    <d v="2024-10-27T00:00:00"/>
    <x v="1"/>
    <n v="5"/>
    <x v="0"/>
    <s v="No"/>
    <s v="-"/>
    <s v="No"/>
    <n v="0"/>
    <n v="1"/>
    <n v="4"/>
  </r>
  <r>
    <n v="3476"/>
    <s v="Hélio Costa"/>
    <s v="Ultimate"/>
    <d v="2024-10-28T00:00:00"/>
    <x v="0"/>
    <n v="15"/>
    <x v="2"/>
    <s v="Yes"/>
    <n v="30"/>
    <s v="Yes"/>
    <n v="20"/>
    <n v="7"/>
    <n v="58"/>
  </r>
  <r>
    <n v="3477"/>
    <s v="Íris Loureiro"/>
    <s v="Standard"/>
    <d v="2024-10-29T00:00:00"/>
    <x v="1"/>
    <n v="10"/>
    <x v="0"/>
    <s v="No"/>
    <s v="-"/>
    <s v="Yes"/>
    <n v="20"/>
    <n v="10"/>
    <n v="20"/>
  </r>
  <r>
    <n v="3478"/>
    <s v="João Pereira"/>
    <s v="Core"/>
    <d v="2024-10-30T00:00:00"/>
    <x v="0"/>
    <n v="5"/>
    <x v="1"/>
    <s v="No"/>
    <s v="-"/>
    <s v="No"/>
    <n v="0"/>
    <n v="0"/>
    <n v="5"/>
  </r>
  <r>
    <n v="3479"/>
    <s v="Klara Silva"/>
    <s v="Ultimate"/>
    <d v="2024-10-31T00:00:00"/>
    <x v="1"/>
    <n v="15"/>
    <x v="0"/>
    <s v="Yes"/>
    <n v="30"/>
    <s v="Yes"/>
    <n v="20"/>
    <n v="20"/>
    <n v="45"/>
  </r>
  <r>
    <n v="3480"/>
    <s v="Luciana Barros"/>
    <s v="Standard"/>
    <d v="2024-11-01T00:00:00"/>
    <x v="0"/>
    <n v="10"/>
    <x v="2"/>
    <s v="No"/>
    <s v="-"/>
    <s v="Yes"/>
    <n v="20"/>
    <n v="15"/>
    <n v="15"/>
  </r>
  <r>
    <n v="3481"/>
    <s v="Marcos Gomes"/>
    <s v="Core"/>
    <d v="2024-11-02T00:00:00"/>
    <x v="1"/>
    <n v="5"/>
    <x v="0"/>
    <s v="No"/>
    <s v="-"/>
    <s v="No"/>
    <n v="0"/>
    <n v="1"/>
    <n v="4"/>
  </r>
  <r>
    <n v="3482"/>
    <s v="Natália Soares"/>
    <s v="Ultimate"/>
    <d v="2024-11-03T00:00:00"/>
    <x v="0"/>
    <n v="15"/>
    <x v="1"/>
    <s v="Yes"/>
    <n v="30"/>
    <s v="Yes"/>
    <n v="20"/>
    <n v="3"/>
    <n v="62"/>
  </r>
  <r>
    <n v="3483"/>
    <s v="Oscar Machado"/>
    <s v="Standard"/>
    <d v="2024-11-04T00:00:00"/>
    <x v="1"/>
    <n v="10"/>
    <x v="0"/>
    <s v="No"/>
    <s v="-"/>
    <s v="Yes"/>
    <n v="20"/>
    <n v="10"/>
    <n v="20"/>
  </r>
  <r>
    <n v="3484"/>
    <s v="Patrícia Lima"/>
    <s v="Core"/>
    <d v="2024-11-05T00:00:00"/>
    <x v="0"/>
    <n v="5"/>
    <x v="2"/>
    <s v="No"/>
    <s v="-"/>
    <s v="No"/>
    <n v="0"/>
    <n v="0"/>
    <n v="5"/>
  </r>
  <r>
    <n v="3485"/>
    <s v="Quirino Neto"/>
    <s v="Ultimate"/>
    <d v="2024-11-06T00:00:00"/>
    <x v="1"/>
    <n v="15"/>
    <x v="0"/>
    <s v="Yes"/>
    <n v="30"/>
    <s v="Yes"/>
    <n v="20"/>
    <n v="15"/>
    <n v="50"/>
  </r>
  <r>
    <n v="3486"/>
    <s v="Rafaela Souza"/>
    <s v="Core"/>
    <d v="2024-11-07T00:00:00"/>
    <x v="0"/>
    <n v="5"/>
    <x v="0"/>
    <s v="No"/>
    <s v="-"/>
    <s v="No"/>
    <n v="0"/>
    <n v="0"/>
    <n v="5"/>
  </r>
  <r>
    <n v="3487"/>
    <s v="Sandro Almeida"/>
    <s v="Ultimate"/>
    <d v="2024-11-08T00:00:00"/>
    <x v="1"/>
    <n v="15"/>
    <x v="2"/>
    <s v="Yes"/>
    <n v="30"/>
    <s v="Yes"/>
    <n v="20"/>
    <n v="7"/>
    <n v="58"/>
  </r>
  <r>
    <n v="3488"/>
    <s v="Tânia Ribeiro"/>
    <s v="Standard"/>
    <d v="2024-11-09T00:00:00"/>
    <x v="0"/>
    <n v="10"/>
    <x v="1"/>
    <s v="No"/>
    <s v="-"/>
    <s v="Yes"/>
    <n v="20"/>
    <n v="10"/>
    <n v="20"/>
  </r>
  <r>
    <n v="3489"/>
    <s v="Ugo Dias"/>
    <s v="Core"/>
    <d v="2024-11-10T00:00:00"/>
    <x v="1"/>
    <n v="5"/>
    <x v="2"/>
    <s v="No"/>
    <s v="-"/>
    <s v="No"/>
    <n v="0"/>
    <n v="1"/>
    <n v="4"/>
  </r>
  <r>
    <n v="3490"/>
    <s v="Valéria Lima"/>
    <s v="Ultimate"/>
    <d v="2024-11-11T00:00:00"/>
    <x v="0"/>
    <n v="15"/>
    <x v="0"/>
    <s v="Yes"/>
    <n v="30"/>
    <s v="Yes"/>
    <n v="20"/>
    <n v="15"/>
    <n v="50"/>
  </r>
  <r>
    <n v="3491"/>
    <s v="William Fernandes"/>
    <s v="Standard"/>
    <d v="2024-11-12T00:00:00"/>
    <x v="1"/>
    <n v="10"/>
    <x v="0"/>
    <s v="No"/>
    <s v="-"/>
    <s v="Yes"/>
    <n v="20"/>
    <n v="5"/>
    <n v="25"/>
  </r>
  <r>
    <n v="3492"/>
    <s v="Xuxa Mendes"/>
    <s v="Core"/>
    <d v="2024-11-13T00:00:00"/>
    <x v="0"/>
    <n v="5"/>
    <x v="1"/>
    <s v="No"/>
    <s v="-"/>
    <s v="No"/>
    <n v="0"/>
    <n v="0"/>
    <n v="5"/>
  </r>
  <r>
    <n v="3493"/>
    <s v="Ygor Farias"/>
    <s v="Ultimate"/>
    <d v="2024-11-14T00:00:00"/>
    <x v="1"/>
    <n v="15"/>
    <x v="2"/>
    <s v="Yes"/>
    <n v="30"/>
    <s v="Yes"/>
    <n v="20"/>
    <n v="20"/>
    <n v="45"/>
  </r>
  <r>
    <n v="3494"/>
    <s v="Zilda Barros"/>
    <s v="Standard"/>
    <d v="2024-11-15T00:00:00"/>
    <x v="0"/>
    <n v="10"/>
    <x v="2"/>
    <s v="No"/>
    <s v="-"/>
    <s v="Yes"/>
    <n v="20"/>
    <n v="12"/>
    <n v="18"/>
  </r>
  <r>
    <n v="3495"/>
    <s v="Amanda Santos"/>
    <s v="Core"/>
    <d v="2024-11-16T00:00:00"/>
    <x v="1"/>
    <n v="5"/>
    <x v="0"/>
    <s v="No"/>
    <s v="-"/>
    <s v="No"/>
    <n v="0"/>
    <n v="2"/>
    <n v="3"/>
  </r>
  <r>
    <n v="3496"/>
    <s v="Bruno Costa"/>
    <s v="Ultimate"/>
    <d v="2024-11-17T00:00:00"/>
    <x v="0"/>
    <n v="15"/>
    <x v="1"/>
    <s v="Yes"/>
    <n v="30"/>
    <s v="Yes"/>
    <n v="20"/>
    <n v="5"/>
    <n v="60"/>
  </r>
  <r>
    <n v="3497"/>
    <s v="Carla Rodrigues"/>
    <s v="Standard"/>
    <d v="2024-11-18T00:00:00"/>
    <x v="1"/>
    <n v="10"/>
    <x v="0"/>
    <s v="No"/>
    <s v="-"/>
    <s v="Yes"/>
    <n v="20"/>
    <n v="10"/>
    <n v="20"/>
  </r>
  <r>
    <n v="3498"/>
    <s v="Diogo Pereira"/>
    <s v="Core"/>
    <d v="2024-11-19T00:00:00"/>
    <x v="0"/>
    <n v="5"/>
    <x v="2"/>
    <s v="No"/>
    <s v="-"/>
    <s v="No"/>
    <n v="0"/>
    <n v="0"/>
    <n v="5"/>
  </r>
  <r>
    <n v="3499"/>
    <s v="Elisa Correia"/>
    <s v="Ultimate"/>
    <d v="2024-11-20T00:00:00"/>
    <x v="1"/>
    <n v="15"/>
    <x v="0"/>
    <s v="Yes"/>
    <n v="30"/>
    <s v="Yes"/>
    <n v="20"/>
    <n v="3"/>
    <n v="62"/>
  </r>
  <r>
    <n v="3500"/>
    <s v="Fábio Lourenço"/>
    <s v="Standard"/>
    <d v="2024-11-21T00:00:00"/>
    <x v="0"/>
    <n v="10"/>
    <x v="1"/>
    <s v="No"/>
    <s v="-"/>
    <s v="Yes"/>
    <n v="20"/>
    <n v="15"/>
    <n v="15"/>
  </r>
  <r>
    <n v="3501"/>
    <s v="Gabriela Neves"/>
    <s v="Core"/>
    <d v="2024-11-22T00:00:00"/>
    <x v="1"/>
    <n v="5"/>
    <x v="0"/>
    <s v="No"/>
    <s v="-"/>
    <s v="No"/>
    <n v="0"/>
    <n v="1"/>
    <n v="4"/>
  </r>
  <r>
    <n v="3502"/>
    <s v="Henrique Gonçalves"/>
    <s v="Ultimate"/>
    <d v="2024-11-23T00:00:00"/>
    <x v="0"/>
    <n v="15"/>
    <x v="2"/>
    <s v="Yes"/>
    <n v="30"/>
    <s v="Yes"/>
    <n v="20"/>
    <n v="7"/>
    <n v="58"/>
  </r>
  <r>
    <n v="3503"/>
    <s v="Íris Santos"/>
    <s v="Standard"/>
    <d v="2024-11-24T00:00:00"/>
    <x v="1"/>
    <n v="10"/>
    <x v="0"/>
    <s v="No"/>
    <s v="-"/>
    <s v="Yes"/>
    <n v="20"/>
    <n v="10"/>
    <n v="20"/>
  </r>
  <r>
    <n v="3504"/>
    <s v="João Marcelo Alves"/>
    <s v="Core"/>
    <d v="2024-11-25T00:00:00"/>
    <x v="0"/>
    <n v="5"/>
    <x v="1"/>
    <s v="No"/>
    <s v="-"/>
    <s v="No"/>
    <n v="0"/>
    <n v="0"/>
    <n v="5"/>
  </r>
  <r>
    <n v="3505"/>
    <s v="Klara Fonseca"/>
    <s v="Ultimate"/>
    <d v="2024-11-26T00:00:00"/>
    <x v="1"/>
    <n v="15"/>
    <x v="0"/>
    <s v="Yes"/>
    <n v="30"/>
    <s v="Yes"/>
    <n v="20"/>
    <n v="20"/>
    <n v="45"/>
  </r>
  <r>
    <n v="3506"/>
    <s v="Lucas Mendonça"/>
    <s v="Standard"/>
    <d v="2024-11-27T00:00:00"/>
    <x v="0"/>
    <n v="10"/>
    <x v="2"/>
    <s v="No"/>
    <s v="-"/>
    <s v="Yes"/>
    <n v="20"/>
    <n v="15"/>
    <n v="15"/>
  </r>
  <r>
    <n v="3507"/>
    <s v="Marcela Torres"/>
    <s v="Core"/>
    <d v="2024-11-28T00:00:00"/>
    <x v="1"/>
    <n v="5"/>
    <x v="0"/>
    <s v="No"/>
    <s v="-"/>
    <s v="No"/>
    <n v="0"/>
    <n v="1"/>
    <n v="4"/>
  </r>
  <r>
    <n v="3508"/>
    <s v="Natália Castro"/>
    <s v="Ultimate"/>
    <d v="2024-11-29T00:00:00"/>
    <x v="0"/>
    <n v="15"/>
    <x v="1"/>
    <s v="Yes"/>
    <n v="30"/>
    <s v="Yes"/>
    <n v="20"/>
    <n v="3"/>
    <n v="62"/>
  </r>
  <r>
    <n v="3509"/>
    <s v="Oscar Martins"/>
    <s v="Standard"/>
    <d v="2024-11-30T00:00:00"/>
    <x v="1"/>
    <n v="10"/>
    <x v="0"/>
    <s v="No"/>
    <s v="-"/>
    <s v="Yes"/>
    <n v="20"/>
    <n v="10"/>
    <n v="20"/>
  </r>
  <r>
    <n v="3510"/>
    <s v="Patrícia Oliveira"/>
    <s v="Core"/>
    <d v="2024-12-01T00:00:00"/>
    <x v="0"/>
    <n v="5"/>
    <x v="2"/>
    <s v="No"/>
    <s v="-"/>
    <s v="No"/>
    <n v="0"/>
    <n v="0"/>
    <n v="5"/>
  </r>
  <r>
    <n v="3511"/>
    <s v="Quentin Nogueira"/>
    <s v="Ultimate"/>
    <d v="2024-12-02T00:00:00"/>
    <x v="1"/>
    <n v="15"/>
    <x v="0"/>
    <s v="Yes"/>
    <n v="30"/>
    <s v="Yes"/>
    <n v="20"/>
    <n v="15"/>
    <n v="50"/>
  </r>
  <r>
    <n v="3512"/>
    <s v="Raquel Silva"/>
    <s v="Standard"/>
    <d v="2024-12-03T00:00:00"/>
    <x v="0"/>
    <n v="10"/>
    <x v="1"/>
    <s v="No"/>
    <s v="-"/>
    <s v="Yes"/>
    <n v="20"/>
    <n v="15"/>
    <n v="15"/>
  </r>
  <r>
    <n v="3513"/>
    <s v="Sandro Gomes"/>
    <s v="Core"/>
    <d v="2024-12-04T00:00:00"/>
    <x v="1"/>
    <n v="5"/>
    <x v="0"/>
    <s v="No"/>
    <s v="-"/>
    <s v="No"/>
    <n v="0"/>
    <n v="1"/>
    <n v="4"/>
  </r>
  <r>
    <n v="3514"/>
    <s v="Tânia Machado"/>
    <s v="Ultimate"/>
    <d v="2024-12-05T00:00:00"/>
    <x v="0"/>
    <n v="15"/>
    <x v="2"/>
    <s v="Yes"/>
    <n v="30"/>
    <s v="Yes"/>
    <n v="20"/>
    <n v="7"/>
    <n v="58"/>
  </r>
  <r>
    <n v="3515"/>
    <s v="Ursula Silva"/>
    <s v="Standard"/>
    <d v="2024-12-06T00:00:00"/>
    <x v="1"/>
    <n v="10"/>
    <x v="0"/>
    <s v="No"/>
    <s v="-"/>
    <s v="Yes"/>
    <n v="20"/>
    <n v="10"/>
    <n v="20"/>
  </r>
  <r>
    <n v="3516"/>
    <s v="Vanessa Moraes"/>
    <s v="Core"/>
    <d v="2024-12-07T00:00:00"/>
    <x v="0"/>
    <n v="5"/>
    <x v="1"/>
    <s v="No"/>
    <s v="-"/>
    <s v="No"/>
    <n v="0"/>
    <n v="0"/>
    <n v="5"/>
  </r>
  <r>
    <n v="3517"/>
    <s v="William Carvalho"/>
    <s v="Ultimate"/>
    <d v="2024-12-08T00:00:00"/>
    <x v="1"/>
    <n v="15"/>
    <x v="0"/>
    <s v="Yes"/>
    <n v="30"/>
    <s v="Yes"/>
    <n v="20"/>
    <n v="20"/>
    <n v="45"/>
  </r>
  <r>
    <n v="3518"/>
    <s v="Xavier Reis"/>
    <s v="Standard"/>
    <d v="2024-12-09T00:00:00"/>
    <x v="0"/>
    <n v="10"/>
    <x v="2"/>
    <s v="No"/>
    <s v="-"/>
    <s v="Yes"/>
    <n v="20"/>
    <n v="12"/>
    <n v="18"/>
  </r>
  <r>
    <n v="3519"/>
    <s v="Yasmin Rocha"/>
    <s v="Core"/>
    <d v="2024-12-10T00:00:00"/>
    <x v="1"/>
    <n v="5"/>
    <x v="0"/>
    <s v="No"/>
    <s v="-"/>
    <s v="No"/>
    <n v="0"/>
    <n v="2"/>
    <n v="3"/>
  </r>
  <r>
    <n v="3520"/>
    <s v="Zacarias Duarte"/>
    <s v="Ultimate"/>
    <d v="2024-12-11T00:00:00"/>
    <x v="0"/>
    <n v="15"/>
    <x v="1"/>
    <s v="Yes"/>
    <n v="30"/>
    <s v="Yes"/>
    <n v="20"/>
    <n v="5"/>
    <n v="60"/>
  </r>
  <r>
    <n v="3521"/>
    <s v="Amanda Freitas"/>
    <s v="Standard"/>
    <d v="2024-12-12T00:00:00"/>
    <x v="1"/>
    <n v="10"/>
    <x v="0"/>
    <s v="No"/>
    <s v="-"/>
    <s v="Yes"/>
    <n v="20"/>
    <n v="10"/>
    <n v="20"/>
  </r>
  <r>
    <n v="3522"/>
    <s v="Bruno Almeida"/>
    <s v="Core"/>
    <d v="2024-12-13T00:00:00"/>
    <x v="0"/>
    <n v="5"/>
    <x v="2"/>
    <s v="No"/>
    <s v="-"/>
    <s v="No"/>
    <n v="0"/>
    <n v="0"/>
    <n v="5"/>
  </r>
  <r>
    <n v="3523"/>
    <s v="Carla Siqueira"/>
    <s v="Ultimate"/>
    <d v="2024-12-14T00:00:00"/>
    <x v="1"/>
    <n v="15"/>
    <x v="0"/>
    <s v="Yes"/>
    <n v="30"/>
    <s v="Yes"/>
    <n v="20"/>
    <n v="3"/>
    <n v="62"/>
  </r>
  <r>
    <n v="3524"/>
    <s v="Diogo Ramos"/>
    <s v="Standard"/>
    <d v="2024-12-15T00:00:00"/>
    <x v="0"/>
    <n v="10"/>
    <x v="1"/>
    <s v="No"/>
    <s v="-"/>
    <s v="Yes"/>
    <n v="20"/>
    <n v="15"/>
    <n v="15"/>
  </r>
  <r>
    <n v="3525"/>
    <s v="Elisa Magalhães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346D4-8833-4E00-9111-0439AE418AF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Auto Renewal">
  <location ref="B35:C39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h="1" x="1"/>
        <item x="0"/>
        <item t="default"/>
      </items>
    </pivotField>
    <pivotField numFmtId="44"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2">
    <field x="4"/>
    <field x="6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Soma de Minecraft Season Pass Price" fld="10" baseField="0" baseItem="0" numFmtId="44"/>
  </dataFields>
  <formats count="3">
    <format dxfId="60">
      <pivotArea field="4" type="button" dataOnly="0" labelOnly="1" outline="0" axis="axisRow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68A22-D009-4A8E-B3AC-6A99B8A3AF8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Auto Renewal">
  <location ref="B21:C25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h="1" x="1"/>
        <item x="0"/>
        <item t="default"/>
      </items>
    </pivotField>
    <pivotField numFmtId="44" showAll="0"/>
    <pivotField axis="axisRow" showAll="0">
      <items count="4">
        <item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2">
    <field x="4"/>
    <field x="6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Soma de EA Play Season Pass_x000a_Price" fld="8" baseField="0" baseItem="0" numFmtId="164"/>
  </dataFields>
  <formats count="6">
    <format dxfId="66">
      <pivotArea field="4" type="button" dataOnly="0" labelOnly="1" outline="0" axis="axisRow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7A775-7061-47F9-A659-978219E87D1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Auto Renewal">
  <location ref="B7:C11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h="1" x="1"/>
        <item x="0"/>
        <item t="default"/>
      </items>
    </pivotField>
    <pivotField numFmtId="44"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4"/>
    <field x="6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formats count="2">
    <format dxfId="68">
      <pivotArea field="4" type="button" dataOnly="0" labelOnly="1" outline="0" axis="axisRow" fieldPosition="0"/>
    </format>
    <format dxfId="67">
      <pivotArea dataOnly="0" labelOnly="1" outline="0" axis="axisValues" fieldPosition="0"/>
    </format>
  </formats>
  <chartFormats count="1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779C02D-B50E-4020-B86B-DFD3752ADF75}" sourceName="Subscription Type">
  <pivotTables>
    <pivotTable tabId="3" name="Tabela dinâmica1"/>
    <pivotTable tabId="3" name="Tabela dinâmica2"/>
    <pivotTable tabId="3" name="Tabela dinâmica3"/>
  </pivotTables>
  <data>
    <tabular pivotCacheId="2344868">
      <items count="3">
        <i x="1" s="1"/>
        <i x="0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6736750-8351-4089-BD11-DECE99E6BFC5}" sourceName="Auto Renewal">
  <pivotTables>
    <pivotTable tabId="3" name="Tabela dinâmica1"/>
    <pivotTable tabId="3" name="Tabela dinâmica2"/>
    <pivotTable tabId="3" name="Tabela dinâmica3"/>
  </pivotTables>
  <data>
    <tabular pivotCacheId="2344868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D534202-36A1-4FFB-98FA-13DC28F7D012}" cache="SegmentaçãodeDados_Subscription_Type" caption="Subscription Type" style="SlicerStyleLight3 2" rowHeight="247650"/>
  <slicer name="Auto Renewal" xr10:uid="{F79E002B-BBC2-4563-90DA-CDE7CC9ACB5E}" cache="SegmentaçãodeDados_Auto_Renewal" caption="Auto Renewal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7">
  <autoFilter ref="A1:M296" xr:uid="{34E0E886-4200-4B36-97B3-63DB74FF40A0}">
    <filterColumn colId="6">
      <filters>
        <filter val="Monthly"/>
      </filters>
    </filterColumn>
  </autoFilter>
  <tableColumns count="13">
    <tableColumn id="1" xr3:uid="{C4A90516-688A-46BF-9167-EA16C2A8A652}" name="Subscriber ID" dataDxfId="56"/>
    <tableColumn id="2" xr3:uid="{53DD39D0-2220-4121-9E9D-4EAA7E151C0F}" name="Name" dataDxfId="55"/>
    <tableColumn id="3" xr3:uid="{4F5FF271-4C57-4BE0-8F2C-F82C8551625C}" name="Plan" dataDxfId="54"/>
    <tableColumn id="4" xr3:uid="{8C17EB93-79B9-4E55-B8F7-BEB82F8253E9}" name="Start Date" dataDxfId="53"/>
    <tableColumn id="5" xr3:uid="{48CEDF9B-1689-482A-A828-5CCE7713264A}" name="Auto Renewal" dataDxfId="52"/>
    <tableColumn id="6" xr3:uid="{78B82374-9AA7-4E38-AE4F-78CDE6C83720}" name="Subscription Price" dataDxfId="51" dataCellStyle="Moeda"/>
    <tableColumn id="7" xr3:uid="{F2433F68-AF33-49D0-B1FB-19A396074EDE}" name="Subscription Type" dataDxfId="50"/>
    <tableColumn id="8" xr3:uid="{FD4D9C95-F6E5-4933-9068-A71FF7DF9343}" name="EA Play Season Pass" dataDxfId="49"/>
    <tableColumn id="13" xr3:uid="{978DD0D2-834E-4CE4-A39B-30976086932F}" name="EA Play Season Pass_x000a_Price" dataDxfId="48" dataCellStyle="Moeda"/>
    <tableColumn id="9" xr3:uid="{6E29F111-C395-4580-9DAD-3407D9E8B1A4}" name="Minecraft Season Pass" dataDxfId="47"/>
    <tableColumn id="10" xr3:uid="{EF544EAA-7F25-4FD5-A10E-8E62804DB9E3}" name="Minecraft Season Pass Price" dataDxfId="46" dataCellStyle="Moeda"/>
    <tableColumn id="11" xr3:uid="{7F6EB64A-1F07-4E48-9F0F-AC7D9DCD26F8}" name="Coupon Value" dataDxfId="45" dataCellStyle="Moeda"/>
    <tableColumn id="12" xr3:uid="{2B04ABC8-DE6F-426E-ADC0-D8AFC68CA58E}" name="Total Value" dataDxfId="4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A2F8-C9F6-4A80-8F67-745860371E3C}">
  <sheetPr>
    <pageSetUpPr fitToPage="1"/>
  </sheetPr>
  <dimension ref="A1:Q31"/>
  <sheetViews>
    <sheetView showGridLines="0" tabSelected="1" zoomScaleNormal="100" workbookViewId="0">
      <selection activeCell="R28" sqref="R28"/>
    </sheetView>
  </sheetViews>
  <sheetFormatPr defaultRowHeight="15" x14ac:dyDescent="0.25"/>
  <cols>
    <col min="1" max="1" width="14.7109375" customWidth="1"/>
    <col min="2" max="2" width="3.5703125" customWidth="1"/>
    <col min="6" max="6" width="9.28515625" customWidth="1"/>
    <col min="7" max="7" width="7.7109375" customWidth="1"/>
    <col min="11" max="11" width="18.5703125" customWidth="1"/>
    <col min="12" max="12" width="5.85546875" customWidth="1"/>
    <col min="13" max="13" width="6.42578125" customWidth="1"/>
    <col min="15" max="15" width="14.28515625" customWidth="1"/>
    <col min="16" max="16" width="8.85546875" customWidth="1"/>
    <col min="17" max="17" width="19.42578125" customWidth="1"/>
  </cols>
  <sheetData>
    <row r="1" spans="1:17" ht="25.9" customHeight="1" x14ac:dyDescent="0.25">
      <c r="A1" s="4"/>
    </row>
    <row r="2" spans="1:17" ht="22.9" customHeight="1" x14ac:dyDescent="0.25">
      <c r="A2" s="4"/>
      <c r="C2" s="36" t="s">
        <v>321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7" ht="25.15" customHeight="1" x14ac:dyDescent="0.25">
      <c r="A3" s="4"/>
      <c r="Q3" s="21"/>
    </row>
    <row r="4" spans="1:17" ht="15" customHeight="1" x14ac:dyDescent="0.25">
      <c r="A4" s="4"/>
      <c r="B4" s="25"/>
      <c r="C4" s="31"/>
      <c r="D4" s="31"/>
      <c r="E4" s="31"/>
      <c r="F4" s="31"/>
      <c r="G4" s="31"/>
      <c r="H4" s="31"/>
      <c r="I4" s="31"/>
      <c r="J4" s="31"/>
      <c r="K4" s="25"/>
      <c r="L4" s="25"/>
      <c r="M4" s="25"/>
      <c r="N4" s="25"/>
      <c r="O4" s="25"/>
      <c r="P4" s="25"/>
    </row>
    <row r="5" spans="1:17" ht="10.15" customHeight="1" x14ac:dyDescent="0.25">
      <c r="A5" s="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ht="25.15" customHeight="1" thickBot="1" x14ac:dyDescent="0.5">
      <c r="A6" s="4"/>
      <c r="B6" s="25"/>
      <c r="C6" s="28" t="s">
        <v>319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7"/>
      <c r="Q6" s="24"/>
    </row>
    <row r="7" spans="1:17" ht="15" customHeight="1" thickTop="1" x14ac:dyDescent="0.25">
      <c r="A7" s="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ht="15" customHeight="1" x14ac:dyDescent="0.25">
      <c r="A8" s="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ht="15" customHeight="1" x14ac:dyDescent="0.25">
      <c r="A9" s="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ht="15" customHeight="1" x14ac:dyDescent="0.25">
      <c r="A10" s="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ht="15" customHeight="1" x14ac:dyDescent="0.25">
      <c r="A11" s="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ht="15" customHeight="1" x14ac:dyDescent="0.25">
      <c r="A12" s="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ht="15" customHeight="1" x14ac:dyDescent="0.25">
      <c r="A13" s="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7" ht="15" customHeight="1" x14ac:dyDescent="0.25">
      <c r="A14" s="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7" ht="15" customHeight="1" x14ac:dyDescent="0.25">
      <c r="A15" s="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7" ht="15" customHeight="1" x14ac:dyDescent="0.25">
      <c r="A16" s="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5" customHeight="1" x14ac:dyDescent="0.25">
      <c r="A17" s="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15" customHeight="1" x14ac:dyDescent="0.3">
      <c r="A18" s="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</row>
    <row r="19" spans="1:16" ht="15" customHeight="1" x14ac:dyDescent="0.25">
      <c r="A19" s="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1:16" ht="15" customHeight="1" x14ac:dyDescent="0.25">
      <c r="A20" s="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5" customHeight="1" x14ac:dyDescent="0.25">
      <c r="A21" s="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 ht="15" customHeight="1" x14ac:dyDescent="0.25">
      <c r="A22" s="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 customHeight="1" x14ac:dyDescent="0.25">
      <c r="A23" s="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1:16" ht="15" customHeight="1" x14ac:dyDescent="0.25">
      <c r="A24" s="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 ht="15" customHeight="1" x14ac:dyDescent="0.25">
      <c r="A25" s="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 ht="15" customHeight="1" x14ac:dyDescent="0.25">
      <c r="A26" s="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27" spans="1:16" ht="15" customHeight="1" x14ac:dyDescent="0.25">
      <c r="A27" s="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29.45" customHeight="1" thickBot="1" x14ac:dyDescent="0.4">
      <c r="A28" s="4"/>
      <c r="B28" s="25"/>
      <c r="C28" s="29" t="s">
        <v>322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5"/>
    </row>
    <row r="29" spans="1:16" ht="6.6" customHeight="1" x14ac:dyDescent="0.25">
      <c r="A29" s="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6" ht="14.45" customHeight="1" x14ac:dyDescent="0.25">
      <c r="A30" s="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30" t="s">
        <v>320</v>
      </c>
      <c r="N30" s="30"/>
      <c r="O30" s="30"/>
      <c r="P30" s="25"/>
    </row>
    <row r="31" spans="1:16" x14ac:dyDescent="0.25">
      <c r="A31" s="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</row>
  </sheetData>
  <mergeCells count="5">
    <mergeCell ref="C6:O6"/>
    <mergeCell ref="C28:O28"/>
    <mergeCell ref="M30:O30"/>
    <mergeCell ref="C2:O2"/>
    <mergeCell ref="C4:J4"/>
  </mergeCells>
  <pageMargins left="0.511811024" right="0.511811024" top="0.78740157499999996" bottom="0.78740157499999996" header="0.31496062000000002" footer="0.31496062000000002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2" zoomScale="90" zoomScaleNormal="90" workbookViewId="0">
      <selection activeCell="N28" sqref="N2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40"/>
  <sheetViews>
    <sheetView showGridLines="0" topLeftCell="A28" zoomScaleNormal="100" workbookViewId="0">
      <selection activeCell="I10" sqref="I10"/>
    </sheetView>
  </sheetViews>
  <sheetFormatPr defaultRowHeight="15" x14ac:dyDescent="0.25"/>
  <cols>
    <col min="2" max="2" width="18" bestFit="1" customWidth="1"/>
    <col min="3" max="3" width="12.28515625" bestFit="1" customWidth="1"/>
    <col min="4" max="4" width="11.85546875" bestFit="1" customWidth="1"/>
    <col min="5" max="5" width="15.140625" customWidth="1"/>
    <col min="6" max="6" width="14.7109375" bestFit="1" customWidth="1"/>
    <col min="7" max="7" width="25.570312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5" ht="37.15" customHeight="1" x14ac:dyDescent="0.25"/>
    <row r="7" spans="2:5" ht="36" customHeight="1" x14ac:dyDescent="0.25">
      <c r="B7" s="15" t="s">
        <v>15</v>
      </c>
      <c r="C7" s="37" t="s">
        <v>313</v>
      </c>
    </row>
    <row r="8" spans="2:5" ht="24" customHeight="1" x14ac:dyDescent="0.25">
      <c r="B8" s="13" t="s">
        <v>19</v>
      </c>
      <c r="C8" s="12">
        <v>2284</v>
      </c>
    </row>
    <row r="9" spans="2:5" x14ac:dyDescent="0.25">
      <c r="B9" s="14" t="s">
        <v>24</v>
      </c>
      <c r="C9" s="12">
        <v>1537</v>
      </c>
    </row>
    <row r="10" spans="2:5" x14ac:dyDescent="0.25">
      <c r="B10" s="14" t="s">
        <v>20</v>
      </c>
      <c r="C10" s="12">
        <v>747</v>
      </c>
    </row>
    <row r="11" spans="2:5" x14ac:dyDescent="0.25">
      <c r="B11" s="13" t="s">
        <v>314</v>
      </c>
      <c r="C11" s="12">
        <v>2284</v>
      </c>
    </row>
    <row r="12" spans="2:5" x14ac:dyDescent="0.25">
      <c r="E12" s="18">
        <f>GETPIVOTDATA("Total Value",$B$7)</f>
        <v>2284</v>
      </c>
    </row>
    <row r="21" spans="2:5" ht="45" x14ac:dyDescent="0.25">
      <c r="B21" s="15" t="s">
        <v>15</v>
      </c>
      <c r="C21" s="16" t="s">
        <v>316</v>
      </c>
    </row>
    <row r="22" spans="2:5" x14ac:dyDescent="0.25">
      <c r="B22" s="13" t="s">
        <v>19</v>
      </c>
      <c r="C22" s="17">
        <v>870</v>
      </c>
    </row>
    <row r="23" spans="2:5" x14ac:dyDescent="0.25">
      <c r="B23" s="14" t="s">
        <v>24</v>
      </c>
      <c r="C23" s="17">
        <v>540</v>
      </c>
      <c r="E23" s="18">
        <f>GETPIVOTDATA("EA Play Season Pass
Price",$B$21)</f>
        <v>870</v>
      </c>
    </row>
    <row r="24" spans="2:5" x14ac:dyDescent="0.25">
      <c r="B24" s="14" t="s">
        <v>20</v>
      </c>
      <c r="C24" s="17">
        <v>330</v>
      </c>
    </row>
    <row r="25" spans="2:5" x14ac:dyDescent="0.25">
      <c r="B25" s="13" t="s">
        <v>314</v>
      </c>
      <c r="C25" s="17">
        <v>870</v>
      </c>
    </row>
    <row r="31" spans="2:5" x14ac:dyDescent="0.25">
      <c r="B31" s="13"/>
      <c r="C31" s="17"/>
    </row>
    <row r="32" spans="2:5" x14ac:dyDescent="0.25">
      <c r="B32" s="13"/>
      <c r="C32" s="17"/>
    </row>
    <row r="33" spans="2:5" x14ac:dyDescent="0.25">
      <c r="B33" s="13"/>
      <c r="C33" s="17"/>
    </row>
    <row r="35" spans="2:5" ht="60" x14ac:dyDescent="0.25">
      <c r="B35" s="15" t="s">
        <v>15</v>
      </c>
      <c r="C35" s="16" t="s">
        <v>317</v>
      </c>
    </row>
    <row r="36" spans="2:5" x14ac:dyDescent="0.25">
      <c r="B36" s="13" t="s">
        <v>19</v>
      </c>
      <c r="C36" s="12">
        <v>1140</v>
      </c>
    </row>
    <row r="37" spans="2:5" x14ac:dyDescent="0.25">
      <c r="B37" s="14" t="s">
        <v>24</v>
      </c>
      <c r="C37" s="12">
        <v>820</v>
      </c>
    </row>
    <row r="38" spans="2:5" x14ac:dyDescent="0.25">
      <c r="B38" s="14" t="s">
        <v>20</v>
      </c>
      <c r="C38" s="12">
        <v>320</v>
      </c>
    </row>
    <row r="39" spans="2:5" x14ac:dyDescent="0.25">
      <c r="B39" s="13" t="s">
        <v>314</v>
      </c>
      <c r="C39" s="12">
        <v>1140</v>
      </c>
    </row>
    <row r="40" spans="2:5" x14ac:dyDescent="0.25">
      <c r="E40" s="18">
        <f>GETPIVOTDATA("Minecraft Season Pass Price",$B$35)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2:Q33"/>
  <sheetViews>
    <sheetView showGridLines="0" zoomScaleNormal="100" workbookViewId="0">
      <selection activeCell="R20" sqref="R20"/>
    </sheetView>
  </sheetViews>
  <sheetFormatPr defaultRowHeight="15" x14ac:dyDescent="0.25"/>
  <cols>
    <col min="1" max="1" width="24.140625" style="4" customWidth="1"/>
    <col min="2" max="2" width="3.5703125" customWidth="1"/>
    <col min="6" max="6" width="9.28515625" customWidth="1"/>
    <col min="7" max="7" width="7.7109375" customWidth="1"/>
    <col min="11" max="11" width="18.5703125" customWidth="1"/>
    <col min="12" max="12" width="5.85546875" customWidth="1"/>
    <col min="13" max="13" width="6.42578125" customWidth="1"/>
    <col min="15" max="15" width="14.28515625" customWidth="1"/>
    <col min="16" max="16" width="5.140625" customWidth="1"/>
    <col min="17" max="17" width="12" customWidth="1"/>
  </cols>
  <sheetData>
    <row r="2" spans="1:17" ht="22.9" customHeight="1" thickBot="1" x14ac:dyDescent="0.3">
      <c r="C2" s="32" t="s">
        <v>315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7" ht="15" customHeight="1" thickTop="1" x14ac:dyDescent="0.25">
      <c r="Q3" s="21"/>
    </row>
    <row r="4" spans="1:17" s="7" customFormat="1" ht="15" customHeight="1" x14ac:dyDescent="0.25">
      <c r="A4" s="4"/>
      <c r="C4" s="35" t="s">
        <v>318</v>
      </c>
      <c r="D4" s="35"/>
      <c r="E4" s="35"/>
      <c r="F4" s="35"/>
      <c r="G4" s="35"/>
      <c r="H4" s="35"/>
      <c r="I4" s="35"/>
      <c r="J4" s="35"/>
    </row>
    <row r="5" spans="1:17" s="7" customFormat="1" ht="10.15" customHeight="1" x14ac:dyDescent="0.25">
      <c r="A5" s="4"/>
    </row>
    <row r="6" spans="1:17" s="7" customFormat="1" ht="25.15" customHeight="1" x14ac:dyDescent="0.45">
      <c r="A6" s="4"/>
      <c r="C6" s="33"/>
      <c r="D6" s="33"/>
      <c r="E6" s="33"/>
      <c r="F6" s="33"/>
      <c r="G6" s="19"/>
      <c r="H6" s="34"/>
      <c r="I6" s="34"/>
      <c r="J6" s="34"/>
      <c r="K6" s="34"/>
      <c r="L6" s="19"/>
      <c r="M6" s="22"/>
      <c r="N6" s="23"/>
      <c r="O6" s="23"/>
      <c r="P6" s="23"/>
      <c r="Q6" s="23"/>
    </row>
    <row r="7" spans="1:17" s="7" customFormat="1" ht="15" customHeight="1" x14ac:dyDescent="0.25">
      <c r="A7" s="4"/>
    </row>
    <row r="8" spans="1:17" s="7" customFormat="1" ht="15" customHeight="1" x14ac:dyDescent="0.25">
      <c r="A8" s="4"/>
    </row>
    <row r="9" spans="1:17" s="7" customFormat="1" ht="15" customHeight="1" x14ac:dyDescent="0.25">
      <c r="A9" s="4"/>
    </row>
    <row r="10" spans="1:17" s="7" customFormat="1" ht="15" customHeight="1" x14ac:dyDescent="0.25">
      <c r="A10" s="4"/>
    </row>
    <row r="11" spans="1:17" s="7" customFormat="1" ht="15" customHeight="1" x14ac:dyDescent="0.25">
      <c r="A11" s="4"/>
    </row>
    <row r="12" spans="1:17" s="7" customFormat="1" ht="15" customHeight="1" x14ac:dyDescent="0.25">
      <c r="A12" s="4"/>
    </row>
    <row r="13" spans="1:17" s="7" customFormat="1" ht="15" customHeight="1" x14ac:dyDescent="0.25">
      <c r="A13" s="4"/>
    </row>
    <row r="14" spans="1:17" s="7" customFormat="1" ht="15" customHeight="1" x14ac:dyDescent="0.25">
      <c r="A14" s="4"/>
    </row>
    <row r="15" spans="1:17" s="7" customFormat="1" ht="15" customHeight="1" x14ac:dyDescent="0.25">
      <c r="A15" s="4"/>
    </row>
    <row r="16" spans="1:17" s="7" customFormat="1" ht="15" customHeight="1" x14ac:dyDescent="0.25">
      <c r="A16" s="4"/>
    </row>
    <row r="17" spans="1:16" s="7" customFormat="1" ht="15" customHeight="1" x14ac:dyDescent="0.25">
      <c r="A17" s="4"/>
    </row>
    <row r="18" spans="1:16" s="7" customFormat="1" ht="15" customHeight="1" x14ac:dyDescent="0.3">
      <c r="A18" s="4"/>
      <c r="P18" s="20"/>
    </row>
    <row r="19" spans="1:16" s="7" customFormat="1" ht="15" customHeight="1" x14ac:dyDescent="0.25">
      <c r="A19" s="4"/>
    </row>
    <row r="20" spans="1:16" s="7" customFormat="1" ht="15" customHeight="1" x14ac:dyDescent="0.25">
      <c r="A20" s="4"/>
    </row>
    <row r="21" spans="1:16" s="7" customFormat="1" ht="15" customHeight="1" x14ac:dyDescent="0.25">
      <c r="A21" s="4"/>
    </row>
    <row r="22" spans="1:16" s="7" customFormat="1" ht="15" customHeight="1" x14ac:dyDescent="0.25">
      <c r="A22" s="4"/>
    </row>
    <row r="23" spans="1:16" s="7" customFormat="1" ht="15" customHeight="1" x14ac:dyDescent="0.25">
      <c r="A23" s="4"/>
    </row>
    <row r="24" spans="1:16" s="7" customFormat="1" ht="15" customHeight="1" x14ac:dyDescent="0.25">
      <c r="A24" s="4"/>
    </row>
    <row r="25" spans="1:16" s="7" customFormat="1" ht="15" customHeight="1" x14ac:dyDescent="0.25">
      <c r="A25" s="4"/>
    </row>
    <row r="26" spans="1:16" s="7" customFormat="1" ht="15" customHeight="1" x14ac:dyDescent="0.25">
      <c r="A26" s="4"/>
    </row>
    <row r="27" spans="1:16" s="7" customFormat="1" ht="15" customHeight="1" x14ac:dyDescent="0.25">
      <c r="A27" s="4"/>
    </row>
    <row r="28" spans="1:16" s="7" customFormat="1" ht="15" customHeight="1" x14ac:dyDescent="0.25">
      <c r="A28" s="4"/>
    </row>
    <row r="29" spans="1:16" s="7" customFormat="1" ht="15" customHeight="1" x14ac:dyDescent="0.25">
      <c r="A29" s="4"/>
    </row>
    <row r="30" spans="1:16" s="7" customFormat="1" ht="15" customHeight="1" x14ac:dyDescent="0.25">
      <c r="A30" s="4"/>
    </row>
    <row r="31" spans="1:16" s="7" customFormat="1" ht="15" customHeight="1" x14ac:dyDescent="0.25">
      <c r="A31" s="4"/>
    </row>
    <row r="32" spans="1:16" s="7" customFormat="1" x14ac:dyDescent="0.25">
      <c r="A32" s="4"/>
    </row>
    <row r="33" spans="1:1" s="7" customFormat="1" x14ac:dyDescent="0.25">
      <c r="A33" s="4"/>
    </row>
  </sheetData>
  <mergeCells count="4">
    <mergeCell ref="C2:O2"/>
    <mergeCell ref="C6:F6"/>
    <mergeCell ref="H6:K6"/>
    <mergeCell ref="C4:J4"/>
  </mergeCells>
  <pageMargins left="0.511811024" right="0.511811024" top="0.78740157499999996" bottom="0.78740157499999996" header="0.31496062000000002" footer="0.31496062000000002"/>
  <pageSetup paperSize="9" scale="86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Cover</vt:lpstr>
      <vt:lpstr>A̳ssets</vt:lpstr>
      <vt:lpstr>B̳ases</vt:lpstr>
      <vt:lpstr>C̳álculos</vt:lpstr>
      <vt:lpstr>DASHBOARD</vt:lpstr>
      <vt:lpstr>Cover!Area_de_impressao</vt:lpstr>
      <vt:lpstr>DASHBOARD!Area_de_impressao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Claudia Salomao Claudia</cp:lastModifiedBy>
  <cp:lastPrinted>2026-10-12T19:58:55Z</cp:lastPrinted>
  <dcterms:created xsi:type="dcterms:W3CDTF">2024-12-19T13:13:10Z</dcterms:created>
  <dcterms:modified xsi:type="dcterms:W3CDTF">2026-10-15T13:58:11Z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